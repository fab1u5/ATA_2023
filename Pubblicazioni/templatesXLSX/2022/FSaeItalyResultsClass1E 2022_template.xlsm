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22\TemplatesDownload\"/>
    </mc:Choice>
  </mc:AlternateContent>
  <xr:revisionPtr revIDLastSave="0" documentId="13_ncr:1_{F37FD2E7-2453-4F20-885C-C488F271868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2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Ordinato'!$A$1:$F$55</definedName>
    <definedName name="_xlnm.Print_Area" localSheetId="6">'Endurance-Efficiency Ordinato'!$A$90:$P$139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7" i="7" l="1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" i="7"/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P139" i="12" l="1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P106" i="12"/>
  <c r="A106" i="12" s="1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B100" i="12"/>
  <c r="P97" i="12"/>
  <c r="P94" i="12"/>
  <c r="L94" i="12"/>
  <c r="P92" i="12"/>
  <c r="L92" i="12"/>
  <c r="P90" i="12"/>
  <c r="L7" i="12"/>
  <c r="L96" i="12" s="1"/>
  <c r="P6" i="12"/>
  <c r="P95" i="12" s="1"/>
  <c r="L6" i="12"/>
  <c r="L95" i="12" s="1"/>
  <c r="L1" i="12"/>
  <c r="A134" i="12" l="1"/>
  <c r="A112" i="12"/>
  <c r="A120" i="12"/>
  <c r="A128" i="12"/>
  <c r="A136" i="12"/>
  <c r="A122" i="12"/>
  <c r="A113" i="12"/>
  <c r="A119" i="12"/>
  <c r="A127" i="12"/>
  <c r="A135" i="12"/>
  <c r="L90" i="12"/>
  <c r="L91" i="12" s="1"/>
  <c r="L93" i="12" s="1"/>
  <c r="A121" i="12"/>
  <c r="A103" i="12"/>
  <c r="A111" i="12"/>
  <c r="A137" i="12"/>
  <c r="A130" i="12"/>
  <c r="A138" i="12"/>
  <c r="A125" i="12"/>
  <c r="A129" i="12"/>
  <c r="P2" i="12"/>
  <c r="P91" i="12" s="1"/>
  <c r="A100" i="12"/>
  <c r="A108" i="12"/>
  <c r="A116" i="12"/>
  <c r="A124" i="12"/>
  <c r="A132" i="12"/>
  <c r="A114" i="12"/>
  <c r="A107" i="12"/>
  <c r="A115" i="12"/>
  <c r="A123" i="12"/>
  <c r="A131" i="12"/>
  <c r="A139" i="12"/>
  <c r="A133" i="12"/>
  <c r="A110" i="12"/>
  <c r="A101" i="12"/>
  <c r="A118" i="12"/>
  <c r="A104" i="12"/>
  <c r="A109" i="12"/>
  <c r="A102" i="12"/>
  <c r="A105" i="12"/>
  <c r="A117" i="12"/>
  <c r="A126" i="12"/>
  <c r="P4" i="12"/>
  <c r="P93" i="12" s="1"/>
  <c r="P96" i="12" s="1"/>
  <c r="L2" i="12"/>
  <c r="A139" i="11"/>
  <c r="A132" i="11"/>
  <c r="A131" i="11"/>
  <c r="A116" i="11"/>
  <c r="A114" i="11"/>
  <c r="A108" i="11"/>
  <c r="A98" i="11"/>
  <c r="A91" i="11"/>
  <c r="A90" i="11"/>
  <c r="D90" i="11"/>
  <c r="C90" i="11"/>
  <c r="B90" i="11"/>
  <c r="N90" i="11"/>
  <c r="A137" i="11" s="1"/>
  <c r="M90" i="11"/>
  <c r="L90" i="11"/>
  <c r="K90" i="11"/>
  <c r="J90" i="11"/>
  <c r="I90" i="11"/>
  <c r="H90" i="11"/>
  <c r="G90" i="11"/>
  <c r="F90" i="1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E142" i="5"/>
  <c r="F141" i="5"/>
  <c r="E141" i="5"/>
  <c r="F140" i="5"/>
  <c r="E140" i="5"/>
  <c r="F139" i="5"/>
  <c r="E139" i="5"/>
  <c r="F138" i="5"/>
  <c r="E138" i="5"/>
  <c r="F137" i="5"/>
  <c r="E137" i="5"/>
  <c r="F136" i="5"/>
  <c r="E136" i="5"/>
  <c r="F135" i="5"/>
  <c r="E135" i="5"/>
  <c r="F134" i="5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E126" i="5"/>
  <c r="F125" i="5"/>
  <c r="E125" i="5"/>
  <c r="F124" i="5"/>
  <c r="E124" i="5"/>
  <c r="F123" i="5"/>
  <c r="E123" i="5"/>
  <c r="F122" i="5"/>
  <c r="E122" i="5"/>
  <c r="F121" i="5"/>
  <c r="E121" i="5"/>
  <c r="F120" i="5"/>
  <c r="E120" i="5"/>
  <c r="F119" i="5"/>
  <c r="E119" i="5"/>
  <c r="F118" i="5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E110" i="5"/>
  <c r="F109" i="5"/>
  <c r="E109" i="5"/>
  <c r="F108" i="5"/>
  <c r="E108" i="5"/>
  <c r="F107" i="5"/>
  <c r="E107" i="5"/>
  <c r="F106" i="5"/>
  <c r="E106" i="5"/>
  <c r="F105" i="5"/>
  <c r="E105" i="5"/>
  <c r="F104" i="5"/>
  <c r="E104" i="5"/>
  <c r="F103" i="5"/>
  <c r="E103" i="5"/>
  <c r="F102" i="5"/>
  <c r="E102" i="5"/>
  <c r="F101" i="5"/>
  <c r="E101" i="5"/>
  <c r="F100" i="5"/>
  <c r="E100" i="5"/>
  <c r="F99" i="5"/>
  <c r="E99" i="5"/>
  <c r="F98" i="5"/>
  <c r="E98" i="5"/>
  <c r="F97" i="5"/>
  <c r="E97" i="5"/>
  <c r="F96" i="5"/>
  <c r="E96" i="5"/>
  <c r="F95" i="5"/>
  <c r="E95" i="5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A147" i="1" s="1"/>
  <c r="A104" i="1" l="1"/>
  <c r="A112" i="1"/>
  <c r="A136" i="1"/>
  <c r="A97" i="4"/>
  <c r="A113" i="4"/>
  <c r="A129" i="4"/>
  <c r="A137" i="4"/>
  <c r="P90" i="11"/>
  <c r="A139" i="1"/>
  <c r="A120" i="1"/>
  <c r="A128" i="1"/>
  <c r="A144" i="1"/>
  <c r="A97" i="1"/>
  <c r="A105" i="1"/>
  <c r="A113" i="1"/>
  <c r="A121" i="1"/>
  <c r="A129" i="1"/>
  <c r="A137" i="1"/>
  <c r="A145" i="1"/>
  <c r="A92" i="11"/>
  <c r="A115" i="11"/>
  <c r="A138" i="11"/>
  <c r="A122" i="1"/>
  <c r="A131" i="4"/>
  <c r="A98" i="5"/>
  <c r="A102" i="5"/>
  <c r="A106" i="5"/>
  <c r="A122" i="5"/>
  <c r="A126" i="5"/>
  <c r="A134" i="5"/>
  <c r="A138" i="5"/>
  <c r="A142" i="5"/>
  <c r="A99" i="11"/>
  <c r="A122" i="11"/>
  <c r="A140" i="11"/>
  <c r="A106" i="1"/>
  <c r="A130" i="1"/>
  <c r="A107" i="4"/>
  <c r="A124" i="1"/>
  <c r="A148" i="1"/>
  <c r="A109" i="4"/>
  <c r="A117" i="4"/>
  <c r="A133" i="4"/>
  <c r="A100" i="11"/>
  <c r="A123" i="11"/>
  <c r="A114" i="1"/>
  <c r="A146" i="1"/>
  <c r="A115" i="4"/>
  <c r="A100" i="1"/>
  <c r="A116" i="1"/>
  <c r="A132" i="1"/>
  <c r="A110" i="1"/>
  <c r="A117" i="1"/>
  <c r="A125" i="1"/>
  <c r="A133" i="1"/>
  <c r="A141" i="1"/>
  <c r="A149" i="1"/>
  <c r="A130" i="5"/>
  <c r="A103" i="5"/>
  <c r="A106" i="11"/>
  <c r="A124" i="11"/>
  <c r="A131" i="1"/>
  <c r="A138" i="1"/>
  <c r="A139" i="4"/>
  <c r="A108" i="1"/>
  <c r="A140" i="1"/>
  <c r="A109" i="1"/>
  <c r="A95" i="4"/>
  <c r="A103" i="4"/>
  <c r="A107" i="11"/>
  <c r="A130" i="11"/>
  <c r="A101" i="1"/>
  <c r="A102" i="4"/>
  <c r="A110" i="4"/>
  <c r="A118" i="4"/>
  <c r="A126" i="4"/>
  <c r="A134" i="4"/>
  <c r="A142" i="4"/>
  <c r="A99" i="4"/>
  <c r="A121" i="4"/>
  <c r="A141" i="4"/>
  <c r="A148" i="5"/>
  <c r="A100" i="5"/>
  <c r="A110" i="5"/>
  <c r="A113" i="5"/>
  <c r="A127" i="5"/>
  <c r="A145" i="5"/>
  <c r="A127" i="4"/>
  <c r="A145" i="4"/>
  <c r="A114" i="5"/>
  <c r="A149" i="5"/>
  <c r="A119" i="1"/>
  <c r="A112" i="4"/>
  <c r="A105" i="4"/>
  <c r="A104" i="5"/>
  <c r="A96" i="1"/>
  <c r="A107" i="5"/>
  <c r="A125" i="5"/>
  <c r="A139" i="5"/>
  <c r="A93" i="11"/>
  <c r="A101" i="11"/>
  <c r="A109" i="11"/>
  <c r="A117" i="11"/>
  <c r="A125" i="11"/>
  <c r="A133" i="11"/>
  <c r="A135" i="4"/>
  <c r="A123" i="4"/>
  <c r="A117" i="5"/>
  <c r="A127" i="1"/>
  <c r="A104" i="4"/>
  <c r="A144" i="4"/>
  <c r="A121" i="5"/>
  <c r="A98" i="4"/>
  <c r="A106" i="4"/>
  <c r="A114" i="4"/>
  <c r="A122" i="4"/>
  <c r="A130" i="4"/>
  <c r="A138" i="4"/>
  <c r="A146" i="4"/>
  <c r="A101" i="5"/>
  <c r="A111" i="5"/>
  <c r="A129" i="5"/>
  <c r="A143" i="5"/>
  <c r="A94" i="11"/>
  <c r="A102" i="11"/>
  <c r="A110" i="11"/>
  <c r="A118" i="11"/>
  <c r="A126" i="11"/>
  <c r="A134" i="11"/>
  <c r="A102" i="1"/>
  <c r="A118" i="1"/>
  <c r="A142" i="1"/>
  <c r="A119" i="4"/>
  <c r="A101" i="4"/>
  <c r="A111" i="1"/>
  <c r="A96" i="4"/>
  <c r="A136" i="4"/>
  <c r="A108" i="5"/>
  <c r="A98" i="1"/>
  <c r="A95" i="5"/>
  <c r="A115" i="5"/>
  <c r="A133" i="5"/>
  <c r="A147" i="5"/>
  <c r="A95" i="11"/>
  <c r="A103" i="11"/>
  <c r="A111" i="11"/>
  <c r="A119" i="11"/>
  <c r="A127" i="11"/>
  <c r="A135" i="11"/>
  <c r="A134" i="1"/>
  <c r="A131" i="5"/>
  <c r="A146" i="5"/>
  <c r="A95" i="1"/>
  <c r="A143" i="1"/>
  <c r="A128" i="4"/>
  <c r="A125" i="4"/>
  <c r="A135" i="5"/>
  <c r="A99" i="1"/>
  <c r="A107" i="1"/>
  <c r="A115" i="1"/>
  <c r="A123" i="1"/>
  <c r="A100" i="4"/>
  <c r="A108" i="4"/>
  <c r="A116" i="4"/>
  <c r="A124" i="4"/>
  <c r="A132" i="4"/>
  <c r="A140" i="4"/>
  <c r="A148" i="4"/>
  <c r="A96" i="5"/>
  <c r="A105" i="5"/>
  <c r="A119" i="5"/>
  <c r="A137" i="5"/>
  <c r="A96" i="11"/>
  <c r="A104" i="11"/>
  <c r="A112" i="11"/>
  <c r="A120" i="11"/>
  <c r="A128" i="11"/>
  <c r="A136" i="11"/>
  <c r="A126" i="1"/>
  <c r="A111" i="4"/>
  <c r="A143" i="4"/>
  <c r="A103" i="1"/>
  <c r="A135" i="1"/>
  <c r="A120" i="4"/>
  <c r="A147" i="4"/>
  <c r="A118" i="5"/>
  <c r="A99" i="5"/>
  <c r="A109" i="5"/>
  <c r="A123" i="5"/>
  <c r="A141" i="5"/>
  <c r="A97" i="11"/>
  <c r="A105" i="11"/>
  <c r="A113" i="11"/>
  <c r="A121" i="11"/>
  <c r="A129" i="11"/>
  <c r="L4" i="12"/>
  <c r="A97" i="5"/>
  <c r="A112" i="5"/>
  <c r="A116" i="5"/>
  <c r="A120" i="5"/>
  <c r="A124" i="5"/>
  <c r="A128" i="5"/>
  <c r="A132" i="5"/>
  <c r="A136" i="5"/>
  <c r="A140" i="5"/>
  <c r="A144" i="5"/>
  <c r="P7" i="12" l="1"/>
  <c r="X85" i="8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V1" i="8" l="1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95" i="7"/>
  <c r="H95" i="7"/>
  <c r="K95" i="7"/>
  <c r="N95" i="7"/>
  <c r="E96" i="7"/>
  <c r="H96" i="7"/>
  <c r="K96" i="7"/>
  <c r="N96" i="7"/>
  <c r="E97" i="7"/>
  <c r="H97" i="7"/>
  <c r="K97" i="7"/>
  <c r="N97" i="7"/>
  <c r="E98" i="7"/>
  <c r="H98" i="7"/>
  <c r="K98" i="7"/>
  <c r="N98" i="7"/>
  <c r="E99" i="7"/>
  <c r="H99" i="7"/>
  <c r="K99" i="7"/>
  <c r="N99" i="7"/>
  <c r="E100" i="7"/>
  <c r="H100" i="7"/>
  <c r="K100" i="7"/>
  <c r="N100" i="7"/>
  <c r="E101" i="7"/>
  <c r="H101" i="7"/>
  <c r="K101" i="7"/>
  <c r="N101" i="7"/>
  <c r="E102" i="7"/>
  <c r="H102" i="7"/>
  <c r="K102" i="7"/>
  <c r="N102" i="7"/>
  <c r="E103" i="7"/>
  <c r="H103" i="7"/>
  <c r="K103" i="7"/>
  <c r="N103" i="7"/>
  <c r="E104" i="7"/>
  <c r="H104" i="7"/>
  <c r="K104" i="7"/>
  <c r="N104" i="7"/>
  <c r="E105" i="7"/>
  <c r="H105" i="7"/>
  <c r="K105" i="7"/>
  <c r="N105" i="7"/>
  <c r="E106" i="7"/>
  <c r="H106" i="7"/>
  <c r="K106" i="7"/>
  <c r="N106" i="7"/>
  <c r="E107" i="7"/>
  <c r="H107" i="7"/>
  <c r="K107" i="7"/>
  <c r="N107" i="7"/>
  <c r="E108" i="7"/>
  <c r="H108" i="7"/>
  <c r="K108" i="7"/>
  <c r="N108" i="7"/>
  <c r="E109" i="7"/>
  <c r="H109" i="7"/>
  <c r="K109" i="7"/>
  <c r="N109" i="7"/>
  <c r="E6" i="6"/>
  <c r="E95" i="6" s="1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H102" i="6" s="1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N105" i="6"/>
  <c r="N109" i="6"/>
  <c r="E96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102" i="8" l="1"/>
  <c r="A101" i="8"/>
  <c r="A109" i="8"/>
  <c r="A117" i="8"/>
  <c r="A125" i="8"/>
  <c r="A133" i="8"/>
  <c r="A126" i="8"/>
  <c r="A134" i="8"/>
  <c r="A118" i="8"/>
  <c r="A95" i="8"/>
  <c r="A103" i="8"/>
  <c r="A111" i="8"/>
  <c r="A119" i="8"/>
  <c r="A127" i="8"/>
  <c r="A135" i="8"/>
  <c r="A96" i="8"/>
  <c r="A104" i="8"/>
  <c r="A112" i="8"/>
  <c r="A120" i="8"/>
  <c r="A128" i="8"/>
  <c r="A136" i="8"/>
  <c r="A110" i="8"/>
  <c r="A97" i="8"/>
  <c r="A105" i="8"/>
  <c r="A113" i="8"/>
  <c r="A121" i="8"/>
  <c r="A129" i="8"/>
  <c r="A137" i="8"/>
  <c r="A98" i="8"/>
  <c r="A106" i="8"/>
  <c r="A114" i="8"/>
  <c r="A122" i="8"/>
  <c r="A130" i="8"/>
  <c r="A138" i="8"/>
  <c r="A99" i="8"/>
  <c r="A107" i="8"/>
  <c r="A115" i="8"/>
  <c r="A123" i="8"/>
  <c r="A131" i="8"/>
  <c r="A139" i="8"/>
  <c r="A100" i="8"/>
  <c r="A108" i="8"/>
  <c r="A116" i="8"/>
  <c r="A124" i="8"/>
  <c r="A132" i="8"/>
  <c r="X121" i="8"/>
  <c r="Y121" i="8" s="1"/>
  <c r="X137" i="8"/>
  <c r="Y137" i="8" s="1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T59" i="7"/>
  <c r="U59" i="7" s="1"/>
  <c r="T58" i="7"/>
  <c r="U58" i="7" s="1"/>
  <c r="T57" i="7"/>
  <c r="U57" i="7" s="1"/>
  <c r="T56" i="7"/>
  <c r="U56" i="7" s="1"/>
  <c r="T55" i="7"/>
  <c r="U55" i="7" s="1"/>
  <c r="T54" i="7"/>
  <c r="U54" i="7" s="1"/>
  <c r="T53" i="7"/>
  <c r="U53" i="7" s="1"/>
  <c r="T52" i="7"/>
  <c r="U52" i="7" s="1"/>
  <c r="T51" i="7"/>
  <c r="U51" i="7" s="1"/>
  <c r="T50" i="7"/>
  <c r="U50" i="7" s="1"/>
  <c r="N139" i="7"/>
  <c r="K139" i="7"/>
  <c r="H139" i="7"/>
  <c r="E139" i="7"/>
  <c r="T49" i="7"/>
  <c r="U49" i="7" s="1"/>
  <c r="N138" i="7"/>
  <c r="K138" i="7"/>
  <c r="H138" i="7"/>
  <c r="E138" i="7"/>
  <c r="T48" i="7"/>
  <c r="U48" i="7" s="1"/>
  <c r="N137" i="7"/>
  <c r="K137" i="7"/>
  <c r="H137" i="7"/>
  <c r="E137" i="7"/>
  <c r="T47" i="7"/>
  <c r="U47" i="7" s="1"/>
  <c r="N136" i="7"/>
  <c r="K136" i="7"/>
  <c r="H136" i="7"/>
  <c r="E136" i="7"/>
  <c r="T46" i="7"/>
  <c r="U46" i="7" s="1"/>
  <c r="N135" i="7"/>
  <c r="K135" i="7"/>
  <c r="H135" i="7"/>
  <c r="E135" i="7"/>
  <c r="T45" i="7"/>
  <c r="U45" i="7" s="1"/>
  <c r="N134" i="7"/>
  <c r="K134" i="7"/>
  <c r="H134" i="7"/>
  <c r="E134" i="7"/>
  <c r="T44" i="7"/>
  <c r="U44" i="7" s="1"/>
  <c r="N133" i="7"/>
  <c r="K133" i="7"/>
  <c r="H133" i="7"/>
  <c r="E133" i="7"/>
  <c r="T43" i="7"/>
  <c r="U43" i="7" s="1"/>
  <c r="N132" i="7"/>
  <c r="K132" i="7"/>
  <c r="H132" i="7"/>
  <c r="E132" i="7"/>
  <c r="T42" i="7"/>
  <c r="U42" i="7" s="1"/>
  <c r="N131" i="7"/>
  <c r="K131" i="7"/>
  <c r="H131" i="7"/>
  <c r="E131" i="7"/>
  <c r="T41" i="7"/>
  <c r="U41" i="7" s="1"/>
  <c r="N130" i="7"/>
  <c r="K130" i="7"/>
  <c r="H130" i="7"/>
  <c r="E130" i="7"/>
  <c r="T40" i="7"/>
  <c r="U40" i="7" s="1"/>
  <c r="N129" i="7"/>
  <c r="K129" i="7"/>
  <c r="H129" i="7"/>
  <c r="E129" i="7"/>
  <c r="T39" i="7"/>
  <c r="U39" i="7" s="1"/>
  <c r="N128" i="7"/>
  <c r="K128" i="7"/>
  <c r="H128" i="7"/>
  <c r="E128" i="7"/>
  <c r="T38" i="7"/>
  <c r="U38" i="7" s="1"/>
  <c r="N127" i="7"/>
  <c r="K127" i="7"/>
  <c r="H127" i="7"/>
  <c r="E127" i="7"/>
  <c r="T37" i="7"/>
  <c r="U37" i="7" s="1"/>
  <c r="N126" i="7"/>
  <c r="K126" i="7"/>
  <c r="H126" i="7"/>
  <c r="E126" i="7"/>
  <c r="T36" i="7"/>
  <c r="U36" i="7" s="1"/>
  <c r="N125" i="7"/>
  <c r="K125" i="7"/>
  <c r="H125" i="7"/>
  <c r="E125" i="7"/>
  <c r="T35" i="7"/>
  <c r="U35" i="7" s="1"/>
  <c r="N124" i="7"/>
  <c r="K124" i="7"/>
  <c r="H124" i="7"/>
  <c r="E124" i="7"/>
  <c r="T34" i="7"/>
  <c r="U34" i="7" s="1"/>
  <c r="N123" i="7"/>
  <c r="K123" i="7"/>
  <c r="H123" i="7"/>
  <c r="E123" i="7"/>
  <c r="T33" i="7"/>
  <c r="U33" i="7" s="1"/>
  <c r="N122" i="7"/>
  <c r="K122" i="7"/>
  <c r="H122" i="7"/>
  <c r="E122" i="7"/>
  <c r="T32" i="7"/>
  <c r="U32" i="7" s="1"/>
  <c r="N121" i="7"/>
  <c r="K121" i="7"/>
  <c r="H121" i="7"/>
  <c r="E121" i="7"/>
  <c r="T31" i="7"/>
  <c r="U31" i="7" s="1"/>
  <c r="N120" i="7"/>
  <c r="K120" i="7"/>
  <c r="H120" i="7"/>
  <c r="E120" i="7"/>
  <c r="T30" i="7"/>
  <c r="U30" i="7" s="1"/>
  <c r="N119" i="7"/>
  <c r="K119" i="7"/>
  <c r="H119" i="7"/>
  <c r="E119" i="7"/>
  <c r="T29" i="7"/>
  <c r="U29" i="7" s="1"/>
  <c r="N118" i="7"/>
  <c r="K118" i="7"/>
  <c r="H118" i="7"/>
  <c r="E118" i="7"/>
  <c r="T28" i="7"/>
  <c r="U28" i="7" s="1"/>
  <c r="N117" i="7"/>
  <c r="K117" i="7"/>
  <c r="H117" i="7"/>
  <c r="E117" i="7"/>
  <c r="T27" i="7"/>
  <c r="U27" i="7" s="1"/>
  <c r="N116" i="7"/>
  <c r="K116" i="7"/>
  <c r="H116" i="7"/>
  <c r="E116" i="7"/>
  <c r="T26" i="7"/>
  <c r="U26" i="7" s="1"/>
  <c r="N115" i="7"/>
  <c r="K115" i="7"/>
  <c r="H115" i="7"/>
  <c r="E115" i="7"/>
  <c r="T25" i="7"/>
  <c r="U25" i="7" s="1"/>
  <c r="N114" i="7"/>
  <c r="K114" i="7"/>
  <c r="H114" i="7"/>
  <c r="E114" i="7"/>
  <c r="T24" i="7"/>
  <c r="U24" i="7" s="1"/>
  <c r="N113" i="7"/>
  <c r="K113" i="7"/>
  <c r="H113" i="7"/>
  <c r="E113" i="7"/>
  <c r="T23" i="7"/>
  <c r="U23" i="7" s="1"/>
  <c r="N112" i="7"/>
  <c r="K112" i="7"/>
  <c r="H112" i="7"/>
  <c r="E112" i="7"/>
  <c r="T22" i="7"/>
  <c r="U22" i="7" s="1"/>
  <c r="N111" i="7"/>
  <c r="K111" i="7"/>
  <c r="H111" i="7"/>
  <c r="E111" i="7"/>
  <c r="T21" i="7"/>
  <c r="U21" i="7" s="1"/>
  <c r="N110" i="7"/>
  <c r="K110" i="7"/>
  <c r="H110" i="7"/>
  <c r="E110" i="7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R111" i="6"/>
  <c r="Q111" i="6"/>
  <c r="U111" i="6" s="1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95" i="7" l="1"/>
  <c r="A98" i="6"/>
  <c r="A101" i="6"/>
  <c r="A109" i="6"/>
  <c r="A112" i="6"/>
  <c r="A123" i="6"/>
  <c r="A126" i="6"/>
  <c r="A137" i="6"/>
  <c r="A98" i="7"/>
  <c r="A106" i="7"/>
  <c r="A114" i="7"/>
  <c r="A122" i="7"/>
  <c r="A130" i="7"/>
  <c r="A138" i="7"/>
  <c r="A106" i="6"/>
  <c r="A117" i="6"/>
  <c r="A120" i="6"/>
  <c r="A134" i="6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A100" i="6"/>
  <c r="A108" i="6"/>
  <c r="A119" i="6"/>
  <c r="A122" i="6"/>
  <c r="A125" i="6"/>
  <c r="A136" i="6"/>
  <c r="A139" i="6"/>
  <c r="A97" i="7"/>
  <c r="A105" i="7"/>
  <c r="A113" i="7"/>
  <c r="A121" i="7"/>
  <c r="A129" i="7"/>
  <c r="A137" i="7"/>
  <c r="A97" i="6"/>
  <c r="A105" i="6"/>
  <c r="A116" i="6"/>
  <c r="A133" i="6"/>
  <c r="A102" i="7"/>
  <c r="A110" i="7"/>
  <c r="A118" i="7"/>
  <c r="A126" i="7"/>
  <c r="A134" i="7"/>
  <c r="A102" i="6"/>
  <c r="A110" i="6"/>
  <c r="A113" i="6"/>
  <c r="A127" i="6"/>
  <c r="A130" i="6"/>
  <c r="A99" i="7"/>
  <c r="A107" i="7"/>
  <c r="A115" i="7"/>
  <c r="A123" i="7"/>
  <c r="A131" i="7"/>
  <c r="A139" i="7"/>
  <c r="A99" i="6"/>
  <c r="A107" i="6"/>
  <c r="A118" i="6"/>
  <c r="A121" i="6"/>
  <c r="A124" i="6"/>
  <c r="A135" i="6"/>
  <c r="A138" i="6"/>
  <c r="A96" i="7"/>
  <c r="A104" i="7"/>
  <c r="A112" i="7"/>
  <c r="A120" i="7"/>
  <c r="A128" i="7"/>
  <c r="A136" i="7"/>
  <c r="A96" i="6"/>
  <c r="A104" i="6"/>
  <c r="A115" i="6"/>
  <c r="A129" i="6"/>
  <c r="A132" i="6"/>
  <c r="A101" i="7"/>
  <c r="A109" i="7"/>
  <c r="A117" i="7"/>
  <c r="A125" i="7"/>
  <c r="A133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<sst xmlns="http://schemas.openxmlformats.org/spreadsheetml/2006/main" count="290" uniqueCount="50">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</sst>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0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left"/>
    </xf>
    <xf numFmtId="2" fontId="3" fillId="2" borderId="4" xfId="0" applyNumberFormat="1" applyFont="1" applyFill="1" applyBorder="1" applyAlignment="1">
      <alignment horizontal="left"/>
    </xf>
    <xf numFmtId="2" fontId="3" fillId="2" borderId="7" xfId="0" applyNumberFormat="1" applyFont="1" applyFill="1" applyBorder="1" applyAlignment="1">
      <alignment horizontal="left"/>
    </xf>
    <xf numFmtId="2" fontId="3" fillId="2" borderId="8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149"/>
  <sheetViews>
    <sheetView tabSelected="1" topLeftCell="A75" workbookViewId="0">
      <selection activeCell="K78" sqref="K78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55118110236220474" right="0.55118110236220474" top="1.6141732283464567" bottom="1.299212598425197" header="0.51181102362204722" footer="0.31496062992125984"/>
  <pageSetup paperSize="9" orientation="portrait" r:id="rId1"/>
  <headerFooter>
    <oddHeader>&amp;L&amp;"Times New Roman,Grassetto"&amp;22Cost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B95" sqref="B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6141732283464567" bottom="1.299212598425197" header="0.51181102362204722" footer="0.31496062992125984"/>
  <pageSetup paperSize="9" fitToHeight="0" orientation="portrait" r:id="rId1"/>
  <headerFooter>
    <oddHeader>&amp;L&amp;"Times New Roman,Grassetto"&amp;22Presentation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G111" sqref="G111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48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48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48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48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48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48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48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48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48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48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48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48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48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48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48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48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48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48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48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48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48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48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48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48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48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48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48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48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48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48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48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48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48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48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48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48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48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48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48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48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48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48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48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48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48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48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48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48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48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48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48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48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48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48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48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9" workbookViewId="0">
      <selection activeCell="C95" sqref="C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53"/>
      <c r="F1" s="21"/>
      <c r="G1" s="20"/>
      <c r="H1" s="20"/>
      <c r="I1" s="19"/>
      <c r="J1" s="54"/>
      <c r="K1" s="20"/>
      <c r="L1" s="21"/>
      <c r="M1" s="16"/>
      <c r="N1" s="22" t="s">
        <v>6</v>
      </c>
      <c r="O1" s="23"/>
      <c r="P1" s="24"/>
      <c r="Q1" s="55"/>
      <c r="R1" s="26">
        <f>MIN(Q6:Q50)</f>
        <v>0</v>
      </c>
    </row>
    <row r="2" spans="1:21" x14ac:dyDescent="0.25">
      <c r="A2" s="56"/>
      <c r="B2" s="56"/>
      <c r="C2" s="56"/>
      <c r="D2" s="56"/>
      <c r="E2" s="53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57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58"/>
      <c r="N3" s="59"/>
      <c r="O3" s="60"/>
      <c r="P3" s="58"/>
      <c r="Q3" s="58"/>
      <c r="R3" s="61"/>
    </row>
    <row r="4" spans="1:21" x14ac:dyDescent="0.25">
      <c r="A4" s="13"/>
      <c r="B4" s="13"/>
      <c r="C4" s="13"/>
      <c r="D4" s="13"/>
      <c r="E4" s="74" t="s">
        <v>8</v>
      </c>
      <c r="F4" s="75"/>
      <c r="G4" s="76"/>
      <c r="H4" s="74" t="s">
        <v>9</v>
      </c>
      <c r="I4" s="75"/>
      <c r="J4" s="76"/>
      <c r="K4" s="74" t="s">
        <v>10</v>
      </c>
      <c r="L4" s="75"/>
      <c r="M4" s="76"/>
      <c r="N4" s="74" t="s">
        <v>11</v>
      </c>
      <c r="O4" s="75"/>
      <c r="P4" s="76"/>
      <c r="Q4" s="13"/>
      <c r="R4" s="62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63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64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64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64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64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64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64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64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64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64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64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64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64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64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64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53"/>
      <c r="F90" s="21"/>
      <c r="G90" s="20"/>
      <c r="H90" s="20"/>
      <c r="I90" s="19"/>
      <c r="J90" s="54"/>
      <c r="K90" s="20"/>
      <c r="L90" s="21"/>
      <c r="M90" s="16"/>
      <c r="N90" s="22" t="s">
        <v>6</v>
      </c>
      <c r="O90" s="23"/>
      <c r="P90" s="24"/>
      <c r="Q90" s="55"/>
      <c r="R90" s="26">
        <f>MIN(Q95:Q139)</f>
        <v>0</v>
      </c>
    </row>
    <row r="91" spans="1:21" x14ac:dyDescent="0.25">
      <c r="A91" s="56"/>
      <c r="B91" s="56"/>
      <c r="C91" s="56"/>
      <c r="D91" s="56"/>
      <c r="E91" s="53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57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58"/>
      <c r="N92" s="59"/>
      <c r="O92" s="60"/>
      <c r="P92" s="58"/>
      <c r="Q92" s="58"/>
      <c r="R92" s="61"/>
    </row>
    <row r="93" spans="1:21" x14ac:dyDescent="0.25">
      <c r="A93" s="13"/>
      <c r="B93" s="13"/>
      <c r="C93" s="13"/>
      <c r="D93" s="13"/>
      <c r="E93" s="74" t="s">
        <v>8</v>
      </c>
      <c r="F93" s="75"/>
      <c r="G93" s="76"/>
      <c r="H93" s="74" t="s">
        <v>9</v>
      </c>
      <c r="I93" s="75"/>
      <c r="J93" s="76"/>
      <c r="K93" s="74" t="s">
        <v>10</v>
      </c>
      <c r="L93" s="75"/>
      <c r="M93" s="76"/>
      <c r="N93" s="74" t="s">
        <v>11</v>
      </c>
      <c r="O93" s="75"/>
      <c r="P93" s="76"/>
      <c r="Q93" s="13"/>
      <c r="R93" s="62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63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F1" workbookViewId="0">
      <selection activeCell="R2" sqref="R2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50"/>
      <c r="O3" s="30"/>
      <c r="P3" s="31"/>
      <c r="Q3" s="31"/>
      <c r="R3" s="32"/>
    </row>
    <row r="4" spans="1:21" x14ac:dyDescent="0.25">
      <c r="A4" s="33"/>
      <c r="B4" s="51"/>
      <c r="C4" s="51"/>
      <c r="D4" s="51"/>
      <c r="E4" s="77" t="s">
        <v>8</v>
      </c>
      <c r="F4" s="78"/>
      <c r="G4" s="79"/>
      <c r="H4" s="77" t="s">
        <v>9</v>
      </c>
      <c r="I4" s="78"/>
      <c r="J4" s="79"/>
      <c r="K4" s="77" t="s">
        <v>10</v>
      </c>
      <c r="L4" s="78"/>
      <c r="M4" s="79"/>
      <c r="N4" s="77" t="s">
        <v>11</v>
      </c>
      <c r="O4" s="78"/>
      <c r="P4" s="79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52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>IF(G6&lt;&gt;0,G6-F6*0.125,"-")</f>
        <v>-</v>
      </c>
      <c r="F6" s="43"/>
      <c r="G6" s="44"/>
      <c r="H6" s="44" t="str">
        <f>IF(J6&lt;&gt;0,J6-I6*0.125,"-")</f>
        <v>-</v>
      </c>
      <c r="I6" s="43"/>
      <c r="J6" s="44"/>
      <c r="K6" s="44" t="str">
        <f>IF(M6&lt;&gt;0,M6-L6*0.125,"-")</f>
        <v>-</v>
      </c>
      <c r="L6" s="43"/>
      <c r="M6" s="44"/>
      <c r="N6" s="44" t="str">
        <f>IF(P6&lt;&gt;0,P6-O6*0.125,"-")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64"/>
      <c r="B7" s="41"/>
      <c r="C7" s="41"/>
      <c r="D7" s="41"/>
      <c r="E7" s="44" t="str">
        <f t="shared" ref="E7:E60" si="0">IF(G7&lt;&gt;0,G7-F7*0.125,"-")</f>
        <v>-</v>
      </c>
      <c r="F7" s="43"/>
      <c r="G7" s="44"/>
      <c r="H7" s="44" t="str">
        <f t="shared" ref="H7:H60" si="1">IF(J7&lt;&gt;0,J7-I7*0.125,"-")</f>
        <v>-</v>
      </c>
      <c r="I7" s="43"/>
      <c r="J7" s="44"/>
      <c r="K7" s="44" t="str">
        <f t="shared" ref="K7:K60" si="2">IF(M7&lt;&gt;0,M7-L7*0.125,"-")</f>
        <v>-</v>
      </c>
      <c r="L7" s="43"/>
      <c r="M7" s="44"/>
      <c r="N7" s="44" t="str">
        <f t="shared" ref="N7:N60" si="3">IF(P7&lt;&gt;0,P7-O7*0.125,"-")</f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64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64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64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50"/>
      <c r="O92" s="30"/>
      <c r="P92" s="31"/>
      <c r="Q92" s="31"/>
      <c r="R92" s="32"/>
    </row>
    <row r="93" spans="1:21" x14ac:dyDescent="0.25">
      <c r="A93" s="33"/>
      <c r="B93" s="51"/>
      <c r="C93" s="51"/>
      <c r="D93" s="51"/>
      <c r="E93" s="77" t="s">
        <v>8</v>
      </c>
      <c r="F93" s="78"/>
      <c r="G93" s="79"/>
      <c r="H93" s="77" t="s">
        <v>9</v>
      </c>
      <c r="I93" s="78"/>
      <c r="J93" s="79"/>
      <c r="K93" s="77" t="s">
        <v>10</v>
      </c>
      <c r="L93" s="78"/>
      <c r="M93" s="79"/>
      <c r="N93" s="77" t="s">
        <v>11</v>
      </c>
      <c r="O93" s="78"/>
      <c r="P93" s="79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52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zoomScale="85" zoomScaleNormal="85" workbookViewId="0">
      <selection activeCell="E1" sqref="E1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65"/>
      <c r="G6" s="65"/>
      <c r="H6" s="42"/>
      <c r="I6" s="44" t="str">
        <f t="shared" ref="I6:I60" si="0">IF(L6&lt;&gt;0,L6-J6*2-K6*20,"-")</f>
        <v>-</v>
      </c>
      <c r="J6" s="65"/>
      <c r="K6" s="65"/>
      <c r="L6" s="42"/>
      <c r="M6" s="44" t="str">
        <f t="shared" ref="M6:M60" si="1">IF(P6&lt;&gt;0,P6-N6*2-O6*20,"-")</f>
        <v>-</v>
      </c>
      <c r="N6" s="65"/>
      <c r="O6" s="65"/>
      <c r="P6" s="42"/>
      <c r="Q6" s="44" t="str">
        <f t="shared" ref="Q6:Q60" si="2">IF(T6&lt;&gt;0,T6-R6*2-S6*20,"-")</f>
        <v>-</v>
      </c>
      <c r="R6" s="65"/>
      <c r="S6" s="65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64"/>
      <c r="B7" s="41"/>
      <c r="C7" s="41"/>
      <c r="D7" s="41"/>
      <c r="E7" s="44" t="str">
        <f t="shared" ref="E7:E60" si="3">IF(H7&lt;&gt;0,H7-F7*2-G7*20,"-")</f>
        <v>-</v>
      </c>
      <c r="F7" s="65"/>
      <c r="G7" s="65"/>
      <c r="H7" s="42"/>
      <c r="I7" s="44" t="str">
        <f t="shared" si="0"/>
        <v>-</v>
      </c>
      <c r="J7" s="65"/>
      <c r="K7" s="65"/>
      <c r="L7" s="42"/>
      <c r="M7" s="44" t="str">
        <f t="shared" si="1"/>
        <v>-</v>
      </c>
      <c r="N7" s="65"/>
      <c r="O7" s="65"/>
      <c r="P7" s="42"/>
      <c r="Q7" s="44" t="str">
        <f t="shared" si="2"/>
        <v>-</v>
      </c>
      <c r="R7" s="65"/>
      <c r="S7" s="65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64"/>
      <c r="B8" s="41"/>
      <c r="C8" s="41"/>
      <c r="D8" s="41"/>
      <c r="E8" s="44" t="str">
        <f t="shared" si="3"/>
        <v>-</v>
      </c>
      <c r="F8" s="65"/>
      <c r="G8" s="65"/>
      <c r="H8" s="42"/>
      <c r="I8" s="44" t="str">
        <f t="shared" si="0"/>
        <v>-</v>
      </c>
      <c r="J8" s="65"/>
      <c r="K8" s="65"/>
      <c r="L8" s="42"/>
      <c r="M8" s="44" t="str">
        <f t="shared" si="1"/>
        <v>-</v>
      </c>
      <c r="N8" s="65"/>
      <c r="O8" s="65"/>
      <c r="P8" s="42"/>
      <c r="Q8" s="44" t="str">
        <f t="shared" si="2"/>
        <v>-</v>
      </c>
      <c r="R8" s="65"/>
      <c r="S8" s="65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65"/>
      <c r="G9" s="65"/>
      <c r="H9" s="42"/>
      <c r="I9" s="44" t="str">
        <f t="shared" si="0"/>
        <v>-</v>
      </c>
      <c r="J9" s="65"/>
      <c r="K9" s="65"/>
      <c r="L9" s="42"/>
      <c r="M9" s="44" t="str">
        <f t="shared" si="1"/>
        <v>-</v>
      </c>
      <c r="N9" s="65"/>
      <c r="O9" s="65"/>
      <c r="P9" s="42"/>
      <c r="Q9" s="44" t="str">
        <f t="shared" si="2"/>
        <v>-</v>
      </c>
      <c r="R9" s="65"/>
      <c r="S9" s="65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64"/>
      <c r="B10" s="41"/>
      <c r="C10" s="41"/>
      <c r="D10" s="41"/>
      <c r="E10" s="44" t="str">
        <f t="shared" si="3"/>
        <v>-</v>
      </c>
      <c r="F10" s="65"/>
      <c r="G10" s="65"/>
      <c r="H10" s="42"/>
      <c r="I10" s="44" t="str">
        <f t="shared" si="0"/>
        <v>-</v>
      </c>
      <c r="J10" s="65"/>
      <c r="K10" s="65"/>
      <c r="L10" s="42"/>
      <c r="M10" s="44" t="str">
        <f t="shared" si="1"/>
        <v>-</v>
      </c>
      <c r="N10" s="65"/>
      <c r="O10" s="65"/>
      <c r="P10" s="42"/>
      <c r="Q10" s="44" t="str">
        <f t="shared" si="2"/>
        <v>-</v>
      </c>
      <c r="R10" s="65"/>
      <c r="S10" s="65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64"/>
      <c r="B11" s="41"/>
      <c r="C11" s="41"/>
      <c r="D11" s="41"/>
      <c r="E11" s="44" t="str">
        <f t="shared" si="3"/>
        <v>-</v>
      </c>
      <c r="F11" s="65"/>
      <c r="G11" s="65"/>
      <c r="H11" s="42"/>
      <c r="I11" s="44" t="str">
        <f t="shared" si="0"/>
        <v>-</v>
      </c>
      <c r="J11" s="65"/>
      <c r="K11" s="65"/>
      <c r="L11" s="42"/>
      <c r="M11" s="44" t="str">
        <f t="shared" si="1"/>
        <v>-</v>
      </c>
      <c r="N11" s="65"/>
      <c r="O11" s="65"/>
      <c r="P11" s="42"/>
      <c r="Q11" s="44" t="str">
        <f t="shared" si="2"/>
        <v>-</v>
      </c>
      <c r="R11" s="65"/>
      <c r="S11" s="65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65"/>
      <c r="G12" s="65"/>
      <c r="H12" s="42"/>
      <c r="I12" s="44" t="str">
        <f t="shared" si="0"/>
        <v>-</v>
      </c>
      <c r="J12" s="65"/>
      <c r="K12" s="65"/>
      <c r="L12" s="42"/>
      <c r="M12" s="44" t="str">
        <f t="shared" si="1"/>
        <v>-</v>
      </c>
      <c r="N12" s="65"/>
      <c r="O12" s="65"/>
      <c r="P12" s="42"/>
      <c r="Q12" s="44" t="str">
        <f t="shared" si="2"/>
        <v>-</v>
      </c>
      <c r="R12" s="65"/>
      <c r="S12" s="65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64"/>
      <c r="B13" s="41"/>
      <c r="C13" s="41"/>
      <c r="D13" s="41"/>
      <c r="E13" s="44" t="str">
        <f t="shared" si="3"/>
        <v>-</v>
      </c>
      <c r="F13" s="65"/>
      <c r="G13" s="65"/>
      <c r="H13" s="42"/>
      <c r="I13" s="44" t="str">
        <f t="shared" si="0"/>
        <v>-</v>
      </c>
      <c r="J13" s="65"/>
      <c r="K13" s="65"/>
      <c r="L13" s="42"/>
      <c r="M13" s="44" t="str">
        <f t="shared" si="1"/>
        <v>-</v>
      </c>
      <c r="N13" s="65"/>
      <c r="O13" s="65"/>
      <c r="P13" s="42"/>
      <c r="Q13" s="44" t="str">
        <f t="shared" si="2"/>
        <v>-</v>
      </c>
      <c r="R13" s="65"/>
      <c r="S13" s="65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64"/>
      <c r="B14" s="41"/>
      <c r="C14" s="41"/>
      <c r="D14" s="41"/>
      <c r="E14" s="44" t="str">
        <f t="shared" si="3"/>
        <v>-</v>
      </c>
      <c r="F14" s="65"/>
      <c r="G14" s="65"/>
      <c r="H14" s="42"/>
      <c r="I14" s="44" t="str">
        <f t="shared" si="0"/>
        <v>-</v>
      </c>
      <c r="J14" s="65"/>
      <c r="K14" s="65"/>
      <c r="L14" s="42"/>
      <c r="M14" s="44" t="str">
        <f t="shared" si="1"/>
        <v>-</v>
      </c>
      <c r="N14" s="65"/>
      <c r="O14" s="65"/>
      <c r="P14" s="42"/>
      <c r="Q14" s="44" t="str">
        <f t="shared" si="2"/>
        <v>-</v>
      </c>
      <c r="R14" s="65"/>
      <c r="S14" s="65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65"/>
      <c r="G15" s="65"/>
      <c r="H15" s="42"/>
      <c r="I15" s="44" t="str">
        <f t="shared" si="0"/>
        <v>-</v>
      </c>
      <c r="J15" s="65"/>
      <c r="K15" s="65"/>
      <c r="L15" s="42"/>
      <c r="M15" s="44" t="str">
        <f t="shared" si="1"/>
        <v>-</v>
      </c>
      <c r="N15" s="65"/>
      <c r="O15" s="65"/>
      <c r="P15" s="42"/>
      <c r="Q15" s="44" t="str">
        <f t="shared" si="2"/>
        <v>-</v>
      </c>
      <c r="R15" s="65"/>
      <c r="S15" s="65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64"/>
      <c r="B16" s="41"/>
      <c r="C16" s="41"/>
      <c r="D16" s="41"/>
      <c r="E16" s="44" t="str">
        <f t="shared" si="3"/>
        <v>-</v>
      </c>
      <c r="F16" s="65"/>
      <c r="G16" s="65"/>
      <c r="H16" s="42"/>
      <c r="I16" s="44" t="str">
        <f t="shared" si="0"/>
        <v>-</v>
      </c>
      <c r="J16" s="65"/>
      <c r="K16" s="65"/>
      <c r="L16" s="42"/>
      <c r="M16" s="44" t="str">
        <f t="shared" si="1"/>
        <v>-</v>
      </c>
      <c r="N16" s="65"/>
      <c r="O16" s="65"/>
      <c r="P16" s="42"/>
      <c r="Q16" s="44" t="str">
        <f t="shared" si="2"/>
        <v>-</v>
      </c>
      <c r="R16" s="65"/>
      <c r="S16" s="65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64"/>
      <c r="B17" s="41"/>
      <c r="C17" s="41"/>
      <c r="D17" s="41"/>
      <c r="E17" s="44" t="str">
        <f t="shared" si="3"/>
        <v>-</v>
      </c>
      <c r="F17" s="65"/>
      <c r="G17" s="65"/>
      <c r="H17" s="42"/>
      <c r="I17" s="44" t="str">
        <f t="shared" si="0"/>
        <v>-</v>
      </c>
      <c r="J17" s="65"/>
      <c r="K17" s="65"/>
      <c r="L17" s="42"/>
      <c r="M17" s="44" t="str">
        <f t="shared" si="1"/>
        <v>-</v>
      </c>
      <c r="N17" s="65"/>
      <c r="O17" s="65"/>
      <c r="P17" s="42"/>
      <c r="Q17" s="44" t="str">
        <f t="shared" si="2"/>
        <v>-</v>
      </c>
      <c r="R17" s="65"/>
      <c r="S17" s="65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65"/>
      <c r="G18" s="65"/>
      <c r="H18" s="42"/>
      <c r="I18" s="44" t="str">
        <f t="shared" si="0"/>
        <v>-</v>
      </c>
      <c r="J18" s="65"/>
      <c r="K18" s="65"/>
      <c r="L18" s="42"/>
      <c r="M18" s="44" t="str">
        <f t="shared" si="1"/>
        <v>-</v>
      </c>
      <c r="N18" s="65"/>
      <c r="O18" s="65"/>
      <c r="P18" s="42"/>
      <c r="Q18" s="44" t="str">
        <f t="shared" si="2"/>
        <v>-</v>
      </c>
      <c r="R18" s="65"/>
      <c r="S18" s="65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64"/>
      <c r="B19" s="41"/>
      <c r="C19" s="41"/>
      <c r="D19" s="41"/>
      <c r="E19" s="44" t="str">
        <f t="shared" si="3"/>
        <v>-</v>
      </c>
      <c r="F19" s="65"/>
      <c r="G19" s="65"/>
      <c r="H19" s="42"/>
      <c r="I19" s="44" t="str">
        <f t="shared" si="0"/>
        <v>-</v>
      </c>
      <c r="J19" s="65"/>
      <c r="K19" s="65"/>
      <c r="L19" s="42"/>
      <c r="M19" s="44" t="str">
        <f t="shared" si="1"/>
        <v>-</v>
      </c>
      <c r="N19" s="65"/>
      <c r="O19" s="65"/>
      <c r="P19" s="42"/>
      <c r="Q19" s="44" t="str">
        <f t="shared" si="2"/>
        <v>-</v>
      </c>
      <c r="R19" s="65"/>
      <c r="S19" s="65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64"/>
      <c r="B20" s="41"/>
      <c r="C20" s="41"/>
      <c r="D20" s="41"/>
      <c r="E20" s="44" t="str">
        <f t="shared" si="3"/>
        <v>-</v>
      </c>
      <c r="F20" s="65"/>
      <c r="G20" s="65"/>
      <c r="H20" s="42"/>
      <c r="I20" s="44" t="str">
        <f t="shared" si="0"/>
        <v>-</v>
      </c>
      <c r="J20" s="65"/>
      <c r="K20" s="65"/>
      <c r="L20" s="42"/>
      <c r="M20" s="44" t="str">
        <f t="shared" si="1"/>
        <v>-</v>
      </c>
      <c r="N20" s="65"/>
      <c r="O20" s="65"/>
      <c r="P20" s="42"/>
      <c r="Q20" s="44" t="str">
        <f t="shared" si="2"/>
        <v>-</v>
      </c>
      <c r="R20" s="65"/>
      <c r="S20" s="65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65"/>
      <c r="G21" s="65"/>
      <c r="H21" s="42"/>
      <c r="I21" s="44" t="str">
        <f t="shared" si="0"/>
        <v>-</v>
      </c>
      <c r="J21" s="65"/>
      <c r="K21" s="65"/>
      <c r="L21" s="42"/>
      <c r="M21" s="44" t="str">
        <f t="shared" si="1"/>
        <v>-</v>
      </c>
      <c r="N21" s="65"/>
      <c r="O21" s="65"/>
      <c r="P21" s="42"/>
      <c r="Q21" s="44" t="str">
        <f t="shared" si="2"/>
        <v>-</v>
      </c>
      <c r="R21" s="65"/>
      <c r="S21" s="65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64"/>
      <c r="B22" s="41"/>
      <c r="C22" s="41"/>
      <c r="D22" s="41"/>
      <c r="E22" s="44" t="str">
        <f t="shared" si="3"/>
        <v>-</v>
      </c>
      <c r="F22" s="65"/>
      <c r="G22" s="65"/>
      <c r="H22" s="42"/>
      <c r="I22" s="44" t="str">
        <f t="shared" si="0"/>
        <v>-</v>
      </c>
      <c r="J22" s="65"/>
      <c r="K22" s="65"/>
      <c r="L22" s="42"/>
      <c r="M22" s="44" t="str">
        <f t="shared" si="1"/>
        <v>-</v>
      </c>
      <c r="N22" s="65"/>
      <c r="O22" s="65"/>
      <c r="P22" s="42"/>
      <c r="Q22" s="44" t="str">
        <f t="shared" si="2"/>
        <v>-</v>
      </c>
      <c r="R22" s="65"/>
      <c r="S22" s="65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64"/>
      <c r="B23" s="41"/>
      <c r="C23" s="41"/>
      <c r="D23" s="41"/>
      <c r="E23" s="44" t="str">
        <f t="shared" si="3"/>
        <v>-</v>
      </c>
      <c r="F23" s="65"/>
      <c r="G23" s="65"/>
      <c r="H23" s="42"/>
      <c r="I23" s="44" t="str">
        <f t="shared" si="0"/>
        <v>-</v>
      </c>
      <c r="J23" s="65"/>
      <c r="K23" s="65"/>
      <c r="L23" s="42"/>
      <c r="M23" s="44" t="str">
        <f t="shared" si="1"/>
        <v>-</v>
      </c>
      <c r="N23" s="65"/>
      <c r="O23" s="65"/>
      <c r="P23" s="42"/>
      <c r="Q23" s="44" t="str">
        <f t="shared" si="2"/>
        <v>-</v>
      </c>
      <c r="R23" s="65"/>
      <c r="S23" s="65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65"/>
      <c r="G24" s="65"/>
      <c r="H24" s="42"/>
      <c r="I24" s="44" t="str">
        <f t="shared" si="0"/>
        <v>-</v>
      </c>
      <c r="J24" s="65"/>
      <c r="K24" s="65"/>
      <c r="L24" s="42"/>
      <c r="M24" s="44" t="str">
        <f t="shared" si="1"/>
        <v>-</v>
      </c>
      <c r="N24" s="65"/>
      <c r="O24" s="65"/>
      <c r="P24" s="42"/>
      <c r="Q24" s="44" t="str">
        <f t="shared" si="2"/>
        <v>-</v>
      </c>
      <c r="R24" s="65"/>
      <c r="S24" s="65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64"/>
      <c r="B25" s="41"/>
      <c r="C25" s="41"/>
      <c r="D25" s="41"/>
      <c r="E25" s="44" t="str">
        <f t="shared" si="3"/>
        <v>-</v>
      </c>
      <c r="F25" s="65"/>
      <c r="G25" s="65"/>
      <c r="H25" s="42"/>
      <c r="I25" s="44" t="str">
        <f t="shared" si="0"/>
        <v>-</v>
      </c>
      <c r="J25" s="65"/>
      <c r="K25" s="65"/>
      <c r="L25" s="42"/>
      <c r="M25" s="44" t="str">
        <f t="shared" si="1"/>
        <v>-</v>
      </c>
      <c r="N25" s="65"/>
      <c r="O25" s="65"/>
      <c r="P25" s="42"/>
      <c r="Q25" s="44" t="str">
        <f t="shared" si="2"/>
        <v>-</v>
      </c>
      <c r="R25" s="65"/>
      <c r="S25" s="65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64"/>
      <c r="B26" s="41"/>
      <c r="C26" s="41"/>
      <c r="D26" s="41"/>
      <c r="E26" s="44" t="str">
        <f t="shared" si="3"/>
        <v>-</v>
      </c>
      <c r="F26" s="65"/>
      <c r="G26" s="65"/>
      <c r="H26" s="42"/>
      <c r="I26" s="44" t="str">
        <f t="shared" si="0"/>
        <v>-</v>
      </c>
      <c r="J26" s="65"/>
      <c r="K26" s="65"/>
      <c r="L26" s="42"/>
      <c r="M26" s="44" t="str">
        <f t="shared" si="1"/>
        <v>-</v>
      </c>
      <c r="N26" s="65"/>
      <c r="O26" s="65"/>
      <c r="P26" s="42"/>
      <c r="Q26" s="44" t="str">
        <f t="shared" si="2"/>
        <v>-</v>
      </c>
      <c r="R26" s="65"/>
      <c r="S26" s="65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65"/>
      <c r="G27" s="65"/>
      <c r="H27" s="42"/>
      <c r="I27" s="44" t="str">
        <f t="shared" si="0"/>
        <v>-</v>
      </c>
      <c r="J27" s="65"/>
      <c r="K27" s="65"/>
      <c r="L27" s="42"/>
      <c r="M27" s="44" t="str">
        <f t="shared" si="1"/>
        <v>-</v>
      </c>
      <c r="N27" s="65"/>
      <c r="O27" s="65"/>
      <c r="P27" s="42"/>
      <c r="Q27" s="44" t="str">
        <f t="shared" si="2"/>
        <v>-</v>
      </c>
      <c r="R27" s="65"/>
      <c r="S27" s="65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64"/>
      <c r="B28" s="41"/>
      <c r="C28" s="41"/>
      <c r="D28" s="41"/>
      <c r="E28" s="44" t="str">
        <f t="shared" si="3"/>
        <v>-</v>
      </c>
      <c r="F28" s="65"/>
      <c r="G28" s="65"/>
      <c r="H28" s="42"/>
      <c r="I28" s="44" t="str">
        <f t="shared" si="0"/>
        <v>-</v>
      </c>
      <c r="J28" s="65"/>
      <c r="K28" s="65"/>
      <c r="L28" s="42"/>
      <c r="M28" s="44" t="str">
        <f t="shared" si="1"/>
        <v>-</v>
      </c>
      <c r="N28" s="65"/>
      <c r="O28" s="65"/>
      <c r="P28" s="42"/>
      <c r="Q28" s="44" t="str">
        <f t="shared" si="2"/>
        <v>-</v>
      </c>
      <c r="R28" s="65"/>
      <c r="S28" s="65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64"/>
      <c r="B29" s="41"/>
      <c r="C29" s="41"/>
      <c r="D29" s="41"/>
      <c r="E29" s="44" t="str">
        <f t="shared" si="3"/>
        <v>-</v>
      </c>
      <c r="F29" s="65"/>
      <c r="G29" s="65"/>
      <c r="H29" s="42"/>
      <c r="I29" s="44" t="str">
        <f t="shared" si="0"/>
        <v>-</v>
      </c>
      <c r="J29" s="65"/>
      <c r="K29" s="65"/>
      <c r="L29" s="42"/>
      <c r="M29" s="44" t="str">
        <f t="shared" si="1"/>
        <v>-</v>
      </c>
      <c r="N29" s="65"/>
      <c r="O29" s="65"/>
      <c r="P29" s="42"/>
      <c r="Q29" s="44" t="str">
        <f t="shared" si="2"/>
        <v>-</v>
      </c>
      <c r="R29" s="65"/>
      <c r="S29" s="65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65"/>
      <c r="G30" s="65"/>
      <c r="H30" s="42"/>
      <c r="I30" s="44" t="str">
        <f t="shared" si="0"/>
        <v>-</v>
      </c>
      <c r="J30" s="65"/>
      <c r="K30" s="65"/>
      <c r="L30" s="42"/>
      <c r="M30" s="44" t="str">
        <f t="shared" si="1"/>
        <v>-</v>
      </c>
      <c r="N30" s="65"/>
      <c r="O30" s="65"/>
      <c r="P30" s="42"/>
      <c r="Q30" s="44" t="str">
        <f t="shared" si="2"/>
        <v>-</v>
      </c>
      <c r="R30" s="65"/>
      <c r="S30" s="65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64"/>
      <c r="B31" s="41"/>
      <c r="C31" s="41"/>
      <c r="D31" s="41"/>
      <c r="E31" s="44" t="str">
        <f t="shared" si="3"/>
        <v>-</v>
      </c>
      <c r="F31" s="65"/>
      <c r="G31" s="65"/>
      <c r="H31" s="42"/>
      <c r="I31" s="44" t="str">
        <f t="shared" si="0"/>
        <v>-</v>
      </c>
      <c r="J31" s="65"/>
      <c r="K31" s="65"/>
      <c r="L31" s="42"/>
      <c r="M31" s="44" t="str">
        <f t="shared" si="1"/>
        <v>-</v>
      </c>
      <c r="N31" s="65"/>
      <c r="O31" s="65"/>
      <c r="P31" s="42"/>
      <c r="Q31" s="44" t="str">
        <f t="shared" si="2"/>
        <v>-</v>
      </c>
      <c r="R31" s="65"/>
      <c r="S31" s="65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64"/>
      <c r="B32" s="41"/>
      <c r="C32" s="41"/>
      <c r="D32" s="41"/>
      <c r="E32" s="44" t="str">
        <f t="shared" si="3"/>
        <v>-</v>
      </c>
      <c r="F32" s="65"/>
      <c r="G32" s="65"/>
      <c r="H32" s="42"/>
      <c r="I32" s="44" t="str">
        <f t="shared" si="0"/>
        <v>-</v>
      </c>
      <c r="J32" s="65"/>
      <c r="K32" s="65"/>
      <c r="L32" s="42"/>
      <c r="M32" s="44" t="str">
        <f t="shared" si="1"/>
        <v>-</v>
      </c>
      <c r="N32" s="65"/>
      <c r="O32" s="65"/>
      <c r="P32" s="42"/>
      <c r="Q32" s="44" t="str">
        <f t="shared" si="2"/>
        <v>-</v>
      </c>
      <c r="R32" s="65"/>
      <c r="S32" s="65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65"/>
      <c r="G33" s="65"/>
      <c r="H33" s="42"/>
      <c r="I33" s="44" t="str">
        <f t="shared" si="0"/>
        <v>-</v>
      </c>
      <c r="J33" s="65"/>
      <c r="K33" s="65"/>
      <c r="L33" s="42"/>
      <c r="M33" s="44" t="str">
        <f t="shared" si="1"/>
        <v>-</v>
      </c>
      <c r="N33" s="65"/>
      <c r="O33" s="65"/>
      <c r="P33" s="42"/>
      <c r="Q33" s="44" t="str">
        <f t="shared" si="2"/>
        <v>-</v>
      </c>
      <c r="R33" s="65"/>
      <c r="S33" s="65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64"/>
      <c r="B34" s="41"/>
      <c r="C34" s="41"/>
      <c r="D34" s="41"/>
      <c r="E34" s="44" t="str">
        <f t="shared" si="3"/>
        <v>-</v>
      </c>
      <c r="F34" s="65"/>
      <c r="G34" s="65"/>
      <c r="H34" s="42"/>
      <c r="I34" s="44" t="str">
        <f t="shared" si="0"/>
        <v>-</v>
      </c>
      <c r="J34" s="65"/>
      <c r="K34" s="65"/>
      <c r="L34" s="42"/>
      <c r="M34" s="44" t="str">
        <f t="shared" si="1"/>
        <v>-</v>
      </c>
      <c r="N34" s="65"/>
      <c r="O34" s="65"/>
      <c r="P34" s="42"/>
      <c r="Q34" s="44" t="str">
        <f t="shared" si="2"/>
        <v>-</v>
      </c>
      <c r="R34" s="65"/>
      <c r="S34" s="65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64"/>
      <c r="B35" s="41"/>
      <c r="C35" s="41"/>
      <c r="D35" s="41"/>
      <c r="E35" s="44" t="str">
        <f t="shared" si="3"/>
        <v>-</v>
      </c>
      <c r="F35" s="65"/>
      <c r="G35" s="65"/>
      <c r="H35" s="42"/>
      <c r="I35" s="44" t="str">
        <f t="shared" si="0"/>
        <v>-</v>
      </c>
      <c r="J35" s="65"/>
      <c r="K35" s="65"/>
      <c r="L35" s="42"/>
      <c r="M35" s="44" t="str">
        <f t="shared" si="1"/>
        <v>-</v>
      </c>
      <c r="N35" s="65"/>
      <c r="O35" s="65"/>
      <c r="P35" s="42"/>
      <c r="Q35" s="44" t="str">
        <f t="shared" si="2"/>
        <v>-</v>
      </c>
      <c r="R35" s="65"/>
      <c r="S35" s="65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65"/>
      <c r="G36" s="65"/>
      <c r="H36" s="42"/>
      <c r="I36" s="44" t="str">
        <f t="shared" si="0"/>
        <v>-</v>
      </c>
      <c r="J36" s="65"/>
      <c r="K36" s="65"/>
      <c r="L36" s="42"/>
      <c r="M36" s="44" t="str">
        <f t="shared" si="1"/>
        <v>-</v>
      </c>
      <c r="N36" s="65"/>
      <c r="O36" s="65"/>
      <c r="P36" s="42"/>
      <c r="Q36" s="44" t="str">
        <f t="shared" si="2"/>
        <v>-</v>
      </c>
      <c r="R36" s="65"/>
      <c r="S36" s="65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64"/>
      <c r="B37" s="41"/>
      <c r="C37" s="41"/>
      <c r="D37" s="41"/>
      <c r="E37" s="44" t="str">
        <f t="shared" si="3"/>
        <v>-</v>
      </c>
      <c r="F37" s="65"/>
      <c r="G37" s="65"/>
      <c r="H37" s="42"/>
      <c r="I37" s="44" t="str">
        <f t="shared" si="0"/>
        <v>-</v>
      </c>
      <c r="J37" s="65"/>
      <c r="K37" s="65"/>
      <c r="L37" s="42"/>
      <c r="M37" s="44" t="str">
        <f t="shared" si="1"/>
        <v>-</v>
      </c>
      <c r="N37" s="65"/>
      <c r="O37" s="65"/>
      <c r="P37" s="42"/>
      <c r="Q37" s="44" t="str">
        <f t="shared" si="2"/>
        <v>-</v>
      </c>
      <c r="R37" s="65"/>
      <c r="S37" s="65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64"/>
      <c r="B38" s="41"/>
      <c r="C38" s="41"/>
      <c r="D38" s="41"/>
      <c r="E38" s="44" t="str">
        <f t="shared" si="3"/>
        <v>-</v>
      </c>
      <c r="F38" s="65"/>
      <c r="G38" s="65"/>
      <c r="H38" s="42"/>
      <c r="I38" s="44" t="str">
        <f t="shared" si="0"/>
        <v>-</v>
      </c>
      <c r="J38" s="65"/>
      <c r="K38" s="65"/>
      <c r="L38" s="42"/>
      <c r="M38" s="44" t="str">
        <f t="shared" si="1"/>
        <v>-</v>
      </c>
      <c r="N38" s="65"/>
      <c r="O38" s="65"/>
      <c r="P38" s="42"/>
      <c r="Q38" s="44" t="str">
        <f t="shared" si="2"/>
        <v>-</v>
      </c>
      <c r="R38" s="65"/>
      <c r="S38" s="65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65"/>
      <c r="G39" s="65"/>
      <c r="H39" s="42"/>
      <c r="I39" s="44" t="str">
        <f t="shared" si="0"/>
        <v>-</v>
      </c>
      <c r="J39" s="65"/>
      <c r="K39" s="65"/>
      <c r="L39" s="42"/>
      <c r="M39" s="44" t="str">
        <f t="shared" si="1"/>
        <v>-</v>
      </c>
      <c r="N39" s="65"/>
      <c r="O39" s="65"/>
      <c r="P39" s="42"/>
      <c r="Q39" s="44" t="str">
        <f t="shared" si="2"/>
        <v>-</v>
      </c>
      <c r="R39" s="65"/>
      <c r="S39" s="65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64"/>
      <c r="B40" s="41"/>
      <c r="C40" s="41"/>
      <c r="D40" s="41"/>
      <c r="E40" s="44" t="str">
        <f t="shared" si="3"/>
        <v>-</v>
      </c>
      <c r="F40" s="65"/>
      <c r="G40" s="65"/>
      <c r="H40" s="42"/>
      <c r="I40" s="44" t="str">
        <f t="shared" si="0"/>
        <v>-</v>
      </c>
      <c r="J40" s="65"/>
      <c r="K40" s="65"/>
      <c r="L40" s="42"/>
      <c r="M40" s="44" t="str">
        <f t="shared" si="1"/>
        <v>-</v>
      </c>
      <c r="N40" s="65"/>
      <c r="O40" s="65"/>
      <c r="P40" s="42"/>
      <c r="Q40" s="44" t="str">
        <f t="shared" si="2"/>
        <v>-</v>
      </c>
      <c r="R40" s="65"/>
      <c r="S40" s="65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64"/>
      <c r="B41" s="41"/>
      <c r="C41" s="41"/>
      <c r="D41" s="41"/>
      <c r="E41" s="44" t="str">
        <f t="shared" si="3"/>
        <v>-</v>
      </c>
      <c r="F41" s="65"/>
      <c r="G41" s="65"/>
      <c r="H41" s="42"/>
      <c r="I41" s="44" t="str">
        <f t="shared" si="0"/>
        <v>-</v>
      </c>
      <c r="J41" s="65"/>
      <c r="K41" s="65"/>
      <c r="L41" s="42"/>
      <c r="M41" s="44" t="str">
        <f t="shared" si="1"/>
        <v>-</v>
      </c>
      <c r="N41" s="65"/>
      <c r="O41" s="65"/>
      <c r="P41" s="42"/>
      <c r="Q41" s="44" t="str">
        <f t="shared" si="2"/>
        <v>-</v>
      </c>
      <c r="R41" s="65"/>
      <c r="S41" s="65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65"/>
      <c r="G42" s="65"/>
      <c r="H42" s="42"/>
      <c r="I42" s="44" t="str">
        <f t="shared" si="0"/>
        <v>-</v>
      </c>
      <c r="J42" s="65"/>
      <c r="K42" s="65"/>
      <c r="L42" s="42"/>
      <c r="M42" s="44" t="str">
        <f t="shared" si="1"/>
        <v>-</v>
      </c>
      <c r="N42" s="65"/>
      <c r="O42" s="65"/>
      <c r="P42" s="42"/>
      <c r="Q42" s="44" t="str">
        <f t="shared" si="2"/>
        <v>-</v>
      </c>
      <c r="R42" s="65"/>
      <c r="S42" s="65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64"/>
      <c r="B43" s="41"/>
      <c r="C43" s="41"/>
      <c r="D43" s="41"/>
      <c r="E43" s="44" t="str">
        <f t="shared" si="3"/>
        <v>-</v>
      </c>
      <c r="F43" s="65"/>
      <c r="G43" s="65"/>
      <c r="H43" s="42"/>
      <c r="I43" s="44" t="str">
        <f t="shared" si="0"/>
        <v>-</v>
      </c>
      <c r="J43" s="65"/>
      <c r="K43" s="65"/>
      <c r="L43" s="42"/>
      <c r="M43" s="44" t="str">
        <f t="shared" si="1"/>
        <v>-</v>
      </c>
      <c r="N43" s="65"/>
      <c r="O43" s="65"/>
      <c r="P43" s="42"/>
      <c r="Q43" s="44" t="str">
        <f t="shared" si="2"/>
        <v>-</v>
      </c>
      <c r="R43" s="65"/>
      <c r="S43" s="65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64"/>
      <c r="B44" s="41"/>
      <c r="C44" s="41"/>
      <c r="D44" s="41"/>
      <c r="E44" s="44" t="str">
        <f t="shared" si="3"/>
        <v>-</v>
      </c>
      <c r="F44" s="65"/>
      <c r="G44" s="65"/>
      <c r="H44" s="42"/>
      <c r="I44" s="44" t="str">
        <f t="shared" si="0"/>
        <v>-</v>
      </c>
      <c r="J44" s="65"/>
      <c r="K44" s="65"/>
      <c r="L44" s="42"/>
      <c r="M44" s="44" t="str">
        <f t="shared" si="1"/>
        <v>-</v>
      </c>
      <c r="N44" s="65"/>
      <c r="O44" s="65"/>
      <c r="P44" s="42"/>
      <c r="Q44" s="44" t="str">
        <f t="shared" si="2"/>
        <v>-</v>
      </c>
      <c r="R44" s="65"/>
      <c r="S44" s="65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65"/>
      <c r="G45" s="65"/>
      <c r="H45" s="42"/>
      <c r="I45" s="44" t="str">
        <f t="shared" si="0"/>
        <v>-</v>
      </c>
      <c r="J45" s="65"/>
      <c r="K45" s="65"/>
      <c r="L45" s="42"/>
      <c r="M45" s="44" t="str">
        <f t="shared" si="1"/>
        <v>-</v>
      </c>
      <c r="N45" s="65"/>
      <c r="O45" s="65"/>
      <c r="P45" s="42"/>
      <c r="Q45" s="44" t="str">
        <f t="shared" si="2"/>
        <v>-</v>
      </c>
      <c r="R45" s="65"/>
      <c r="S45" s="65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64"/>
      <c r="B46" s="41"/>
      <c r="C46" s="41"/>
      <c r="D46" s="41"/>
      <c r="E46" s="44" t="str">
        <f t="shared" si="3"/>
        <v>-</v>
      </c>
      <c r="F46" s="65"/>
      <c r="G46" s="65"/>
      <c r="H46" s="42"/>
      <c r="I46" s="44" t="str">
        <f t="shared" si="0"/>
        <v>-</v>
      </c>
      <c r="J46" s="65"/>
      <c r="K46" s="65"/>
      <c r="L46" s="42"/>
      <c r="M46" s="44" t="str">
        <f t="shared" si="1"/>
        <v>-</v>
      </c>
      <c r="N46" s="65"/>
      <c r="O46" s="65"/>
      <c r="P46" s="42"/>
      <c r="Q46" s="44" t="str">
        <f t="shared" si="2"/>
        <v>-</v>
      </c>
      <c r="R46" s="65"/>
      <c r="S46" s="65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64"/>
      <c r="B47" s="41"/>
      <c r="C47" s="41"/>
      <c r="D47" s="41"/>
      <c r="E47" s="44" t="str">
        <f t="shared" si="3"/>
        <v>-</v>
      </c>
      <c r="F47" s="65"/>
      <c r="G47" s="65"/>
      <c r="H47" s="42"/>
      <c r="I47" s="44" t="str">
        <f t="shared" si="0"/>
        <v>-</v>
      </c>
      <c r="J47" s="65"/>
      <c r="K47" s="65"/>
      <c r="L47" s="42"/>
      <c r="M47" s="44" t="str">
        <f t="shared" si="1"/>
        <v>-</v>
      </c>
      <c r="N47" s="65"/>
      <c r="O47" s="65"/>
      <c r="P47" s="42"/>
      <c r="Q47" s="44" t="str">
        <f t="shared" si="2"/>
        <v>-</v>
      </c>
      <c r="R47" s="65"/>
      <c r="S47" s="65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65"/>
      <c r="G48" s="65"/>
      <c r="H48" s="42"/>
      <c r="I48" s="44" t="str">
        <f t="shared" si="0"/>
        <v>-</v>
      </c>
      <c r="J48" s="65"/>
      <c r="K48" s="65"/>
      <c r="L48" s="42"/>
      <c r="M48" s="44" t="str">
        <f t="shared" si="1"/>
        <v>-</v>
      </c>
      <c r="N48" s="65"/>
      <c r="O48" s="65"/>
      <c r="P48" s="42"/>
      <c r="Q48" s="44" t="str">
        <f t="shared" si="2"/>
        <v>-</v>
      </c>
      <c r="R48" s="65"/>
      <c r="S48" s="65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64"/>
      <c r="B49" s="41"/>
      <c r="C49" s="41"/>
      <c r="D49" s="41"/>
      <c r="E49" s="44" t="str">
        <f t="shared" si="3"/>
        <v>-</v>
      </c>
      <c r="F49" s="65"/>
      <c r="G49" s="65"/>
      <c r="H49" s="42"/>
      <c r="I49" s="44" t="str">
        <f t="shared" si="0"/>
        <v>-</v>
      </c>
      <c r="J49" s="65"/>
      <c r="K49" s="65"/>
      <c r="L49" s="42"/>
      <c r="M49" s="44" t="str">
        <f t="shared" si="1"/>
        <v>-</v>
      </c>
      <c r="N49" s="65"/>
      <c r="O49" s="65"/>
      <c r="P49" s="42"/>
      <c r="Q49" s="44" t="str">
        <f t="shared" si="2"/>
        <v>-</v>
      </c>
      <c r="R49" s="65"/>
      <c r="S49" s="65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64"/>
      <c r="B50" s="41"/>
      <c r="C50" s="41"/>
      <c r="D50" s="41"/>
      <c r="E50" s="44" t="str">
        <f t="shared" si="3"/>
        <v>-</v>
      </c>
      <c r="F50" s="65"/>
      <c r="G50" s="65"/>
      <c r="H50" s="42"/>
      <c r="I50" s="44" t="str">
        <f t="shared" si="0"/>
        <v>-</v>
      </c>
      <c r="J50" s="65"/>
      <c r="K50" s="65"/>
      <c r="L50" s="42"/>
      <c r="M50" s="44" t="str">
        <f t="shared" si="1"/>
        <v>-</v>
      </c>
      <c r="N50" s="65"/>
      <c r="O50" s="65"/>
      <c r="P50" s="42"/>
      <c r="Q50" s="44" t="str">
        <f t="shared" si="2"/>
        <v>-</v>
      </c>
      <c r="R50" s="65"/>
      <c r="S50" s="65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64"/>
      <c r="B51" s="41"/>
      <c r="C51" s="41"/>
      <c r="D51" s="41"/>
      <c r="E51" s="44" t="str">
        <f t="shared" si="3"/>
        <v>-</v>
      </c>
      <c r="F51" s="65"/>
      <c r="G51" s="65"/>
      <c r="H51" s="42"/>
      <c r="I51" s="44" t="str">
        <f t="shared" si="0"/>
        <v>-</v>
      </c>
      <c r="J51" s="65"/>
      <c r="K51" s="65"/>
      <c r="L51" s="42"/>
      <c r="M51" s="44" t="str">
        <f t="shared" si="1"/>
        <v>-</v>
      </c>
      <c r="N51" s="65"/>
      <c r="O51" s="65"/>
      <c r="P51" s="42"/>
      <c r="Q51" s="44" t="str">
        <f t="shared" si="2"/>
        <v>-</v>
      </c>
      <c r="R51" s="65"/>
      <c r="S51" s="65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64"/>
      <c r="B52" s="41"/>
      <c r="C52" s="41"/>
      <c r="D52" s="41"/>
      <c r="E52" s="44" t="str">
        <f t="shared" si="3"/>
        <v>-</v>
      </c>
      <c r="F52" s="65"/>
      <c r="G52" s="65"/>
      <c r="H52" s="42"/>
      <c r="I52" s="44" t="str">
        <f t="shared" si="0"/>
        <v>-</v>
      </c>
      <c r="J52" s="65"/>
      <c r="K52" s="65"/>
      <c r="L52" s="42"/>
      <c r="M52" s="44" t="str">
        <f t="shared" si="1"/>
        <v>-</v>
      </c>
      <c r="N52" s="65"/>
      <c r="O52" s="65"/>
      <c r="P52" s="42"/>
      <c r="Q52" s="44" t="str">
        <f t="shared" si="2"/>
        <v>-</v>
      </c>
      <c r="R52" s="65"/>
      <c r="S52" s="65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64"/>
      <c r="B53" s="41"/>
      <c r="C53" s="41"/>
      <c r="D53" s="41"/>
      <c r="E53" s="44" t="str">
        <f t="shared" si="3"/>
        <v>-</v>
      </c>
      <c r="F53" s="65"/>
      <c r="G53" s="65"/>
      <c r="H53" s="42"/>
      <c r="I53" s="44" t="str">
        <f t="shared" si="0"/>
        <v>-</v>
      </c>
      <c r="J53" s="65"/>
      <c r="K53" s="65"/>
      <c r="L53" s="42"/>
      <c r="M53" s="44" t="str">
        <f t="shared" si="1"/>
        <v>-</v>
      </c>
      <c r="N53" s="65"/>
      <c r="O53" s="65"/>
      <c r="P53" s="42"/>
      <c r="Q53" s="44" t="str">
        <f t="shared" si="2"/>
        <v>-</v>
      </c>
      <c r="R53" s="65"/>
      <c r="S53" s="65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64"/>
      <c r="B54" s="41"/>
      <c r="C54" s="41"/>
      <c r="D54" s="41"/>
      <c r="E54" s="44" t="str">
        <f t="shared" si="3"/>
        <v>-</v>
      </c>
      <c r="F54" s="65"/>
      <c r="G54" s="65"/>
      <c r="H54" s="42"/>
      <c r="I54" s="44" t="str">
        <f t="shared" si="0"/>
        <v>-</v>
      </c>
      <c r="J54" s="65"/>
      <c r="K54" s="65"/>
      <c r="L54" s="42"/>
      <c r="M54" s="44" t="str">
        <f t="shared" si="1"/>
        <v>-</v>
      </c>
      <c r="N54" s="65"/>
      <c r="O54" s="65"/>
      <c r="P54" s="42"/>
      <c r="Q54" s="44" t="str">
        <f t="shared" si="2"/>
        <v>-</v>
      </c>
      <c r="R54" s="65"/>
      <c r="S54" s="65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64"/>
      <c r="B55" s="41"/>
      <c r="C55" s="41"/>
      <c r="D55" s="41"/>
      <c r="E55" s="44" t="str">
        <f t="shared" si="3"/>
        <v>-</v>
      </c>
      <c r="F55" s="65"/>
      <c r="G55" s="65"/>
      <c r="H55" s="42"/>
      <c r="I55" s="44" t="str">
        <f t="shared" si="0"/>
        <v>-</v>
      </c>
      <c r="J55" s="65"/>
      <c r="K55" s="65"/>
      <c r="L55" s="42"/>
      <c r="M55" s="44" t="str">
        <f t="shared" si="1"/>
        <v>-</v>
      </c>
      <c r="N55" s="65"/>
      <c r="O55" s="65"/>
      <c r="P55" s="42"/>
      <c r="Q55" s="44" t="str">
        <f t="shared" si="2"/>
        <v>-</v>
      </c>
      <c r="R55" s="65"/>
      <c r="S55" s="65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64"/>
      <c r="B56" s="41"/>
      <c r="C56" s="41"/>
      <c r="D56" s="41"/>
      <c r="E56" s="44" t="str">
        <f t="shared" si="3"/>
        <v>-</v>
      </c>
      <c r="F56" s="65"/>
      <c r="G56" s="65"/>
      <c r="H56" s="42"/>
      <c r="I56" s="44" t="str">
        <f t="shared" si="0"/>
        <v>-</v>
      </c>
      <c r="J56" s="65"/>
      <c r="K56" s="65"/>
      <c r="L56" s="42"/>
      <c r="M56" s="44" t="str">
        <f t="shared" si="1"/>
        <v>-</v>
      </c>
      <c r="N56" s="65"/>
      <c r="O56" s="65"/>
      <c r="P56" s="42"/>
      <c r="Q56" s="44" t="str">
        <f t="shared" si="2"/>
        <v>-</v>
      </c>
      <c r="R56" s="65"/>
      <c r="S56" s="65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64"/>
      <c r="B57" s="41"/>
      <c r="C57" s="41"/>
      <c r="D57" s="41"/>
      <c r="E57" s="44" t="str">
        <f t="shared" si="3"/>
        <v>-</v>
      </c>
      <c r="F57" s="65"/>
      <c r="G57" s="65"/>
      <c r="H57" s="42"/>
      <c r="I57" s="44" t="str">
        <f t="shared" si="0"/>
        <v>-</v>
      </c>
      <c r="J57" s="65"/>
      <c r="K57" s="65"/>
      <c r="L57" s="42"/>
      <c r="M57" s="44" t="str">
        <f t="shared" si="1"/>
        <v>-</v>
      </c>
      <c r="N57" s="65"/>
      <c r="O57" s="65"/>
      <c r="P57" s="42"/>
      <c r="Q57" s="44" t="str">
        <f t="shared" si="2"/>
        <v>-</v>
      </c>
      <c r="R57" s="65"/>
      <c r="S57" s="65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64"/>
      <c r="B58" s="41"/>
      <c r="C58" s="41"/>
      <c r="D58" s="41"/>
      <c r="E58" s="44" t="str">
        <f t="shared" si="3"/>
        <v>-</v>
      </c>
      <c r="F58" s="65"/>
      <c r="G58" s="65"/>
      <c r="H58" s="42"/>
      <c r="I58" s="44" t="str">
        <f t="shared" si="0"/>
        <v>-</v>
      </c>
      <c r="J58" s="65"/>
      <c r="K58" s="65"/>
      <c r="L58" s="42"/>
      <c r="M58" s="44" t="str">
        <f t="shared" si="1"/>
        <v>-</v>
      </c>
      <c r="N58" s="65"/>
      <c r="O58" s="65"/>
      <c r="P58" s="42"/>
      <c r="Q58" s="44" t="str">
        <f t="shared" si="2"/>
        <v>-</v>
      </c>
      <c r="R58" s="65"/>
      <c r="S58" s="65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64"/>
      <c r="B59" s="41"/>
      <c r="C59" s="41"/>
      <c r="D59" s="41"/>
      <c r="E59" s="44" t="str">
        <f t="shared" si="3"/>
        <v>-</v>
      </c>
      <c r="F59" s="65"/>
      <c r="G59" s="65"/>
      <c r="H59" s="42"/>
      <c r="I59" s="44" t="str">
        <f t="shared" si="0"/>
        <v>-</v>
      </c>
      <c r="J59" s="65"/>
      <c r="K59" s="65"/>
      <c r="L59" s="42"/>
      <c r="M59" s="44" t="str">
        <f t="shared" si="1"/>
        <v>-</v>
      </c>
      <c r="N59" s="65"/>
      <c r="O59" s="65"/>
      <c r="P59" s="42"/>
      <c r="Q59" s="44" t="str">
        <f t="shared" si="2"/>
        <v>-</v>
      </c>
      <c r="R59" s="65"/>
      <c r="S59" s="65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64"/>
      <c r="B60" s="41"/>
      <c r="C60" s="41"/>
      <c r="D60" s="41"/>
      <c r="E60" s="44" t="str">
        <f t="shared" si="3"/>
        <v>-</v>
      </c>
      <c r="F60" s="65"/>
      <c r="G60" s="65"/>
      <c r="H60" s="42"/>
      <c r="I60" s="44" t="str">
        <f t="shared" si="0"/>
        <v>-</v>
      </c>
      <c r="J60" s="65"/>
      <c r="K60" s="65"/>
      <c r="L60" s="42"/>
      <c r="M60" s="44" t="str">
        <f t="shared" si="1"/>
        <v>-</v>
      </c>
      <c r="N60" s="65"/>
      <c r="O60" s="65"/>
      <c r="P60" s="42"/>
      <c r="Q60" s="44" t="str">
        <f t="shared" si="2"/>
        <v>-</v>
      </c>
      <c r="R60" s="65"/>
      <c r="S60" s="65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64"/>
      <c r="B61" s="41"/>
      <c r="C61" s="41"/>
      <c r="D61" s="41"/>
      <c r="E61" s="44" t="str">
        <f t="shared" ref="E61:E69" si="6">IF(H61&lt;&gt;0,H61-F61*2-G61*20,"-")</f>
        <v>-</v>
      </c>
      <c r="F61" s="65"/>
      <c r="G61" s="65"/>
      <c r="H61" s="42"/>
      <c r="I61" s="44" t="str">
        <f t="shared" ref="I61:I69" si="7">IF(L61&lt;&gt;0,L61-J61*2-K61*20,"-")</f>
        <v>-</v>
      </c>
      <c r="J61" s="65"/>
      <c r="K61" s="65"/>
      <c r="L61" s="42"/>
      <c r="M61" s="44" t="str">
        <f t="shared" ref="M61:M69" si="8">IF(P61&lt;&gt;0,P61-N61*2-O61*20,"-")</f>
        <v>-</v>
      </c>
      <c r="N61" s="65"/>
      <c r="O61" s="65"/>
      <c r="P61" s="42"/>
      <c r="Q61" s="44" t="str">
        <f t="shared" ref="Q61:Q69" si="9">IF(T61&lt;&gt;0,T61-R61*2-S61*20,"-")</f>
        <v>-</v>
      </c>
      <c r="R61" s="65"/>
      <c r="S61" s="65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64"/>
      <c r="B62" s="41"/>
      <c r="C62" s="41"/>
      <c r="D62" s="41"/>
      <c r="E62" s="44" t="str">
        <f t="shared" si="6"/>
        <v>-</v>
      </c>
      <c r="F62" s="65"/>
      <c r="G62" s="65"/>
      <c r="H62" s="42"/>
      <c r="I62" s="44" t="str">
        <f t="shared" si="7"/>
        <v>-</v>
      </c>
      <c r="J62" s="65"/>
      <c r="K62" s="65"/>
      <c r="L62" s="42"/>
      <c r="M62" s="44" t="str">
        <f t="shared" si="8"/>
        <v>-</v>
      </c>
      <c r="N62" s="65"/>
      <c r="O62" s="65"/>
      <c r="P62" s="42"/>
      <c r="Q62" s="44" t="str">
        <f t="shared" si="9"/>
        <v>-</v>
      </c>
      <c r="R62" s="65"/>
      <c r="S62" s="65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64"/>
      <c r="B63" s="41"/>
      <c r="C63" s="41"/>
      <c r="D63" s="41"/>
      <c r="E63" s="44" t="str">
        <f t="shared" si="6"/>
        <v>-</v>
      </c>
      <c r="F63" s="65"/>
      <c r="G63" s="65"/>
      <c r="H63" s="42"/>
      <c r="I63" s="44" t="str">
        <f t="shared" si="7"/>
        <v>-</v>
      </c>
      <c r="J63" s="65"/>
      <c r="K63" s="65"/>
      <c r="L63" s="42"/>
      <c r="M63" s="44" t="str">
        <f t="shared" si="8"/>
        <v>-</v>
      </c>
      <c r="N63" s="65"/>
      <c r="O63" s="65"/>
      <c r="P63" s="42"/>
      <c r="Q63" s="44" t="str">
        <f t="shared" si="9"/>
        <v>-</v>
      </c>
      <c r="R63" s="65"/>
      <c r="S63" s="65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64"/>
      <c r="B64" s="41"/>
      <c r="C64" s="41"/>
      <c r="D64" s="41"/>
      <c r="E64" s="44" t="str">
        <f t="shared" si="6"/>
        <v>-</v>
      </c>
      <c r="F64" s="65"/>
      <c r="G64" s="65"/>
      <c r="H64" s="42"/>
      <c r="I64" s="44" t="str">
        <f t="shared" si="7"/>
        <v>-</v>
      </c>
      <c r="J64" s="65"/>
      <c r="K64" s="65"/>
      <c r="L64" s="42"/>
      <c r="M64" s="44" t="str">
        <f t="shared" si="8"/>
        <v>-</v>
      </c>
      <c r="N64" s="65"/>
      <c r="O64" s="65"/>
      <c r="P64" s="42"/>
      <c r="Q64" s="44" t="str">
        <f t="shared" si="9"/>
        <v>-</v>
      </c>
      <c r="R64" s="65"/>
      <c r="S64" s="65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64"/>
      <c r="B65" s="41"/>
      <c r="C65" s="41"/>
      <c r="D65" s="41"/>
      <c r="E65" s="44" t="str">
        <f t="shared" si="6"/>
        <v>-</v>
      </c>
      <c r="F65" s="65"/>
      <c r="G65" s="65"/>
      <c r="H65" s="42"/>
      <c r="I65" s="44" t="str">
        <f t="shared" si="7"/>
        <v>-</v>
      </c>
      <c r="J65" s="65"/>
      <c r="K65" s="65"/>
      <c r="L65" s="42"/>
      <c r="M65" s="44" t="str">
        <f t="shared" si="8"/>
        <v>-</v>
      </c>
      <c r="N65" s="65"/>
      <c r="O65" s="65"/>
      <c r="P65" s="42"/>
      <c r="Q65" s="44" t="str">
        <f t="shared" si="9"/>
        <v>-</v>
      </c>
      <c r="R65" s="65"/>
      <c r="S65" s="65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64"/>
      <c r="B66" s="41"/>
      <c r="C66" s="41"/>
      <c r="D66" s="41"/>
      <c r="E66" s="44" t="str">
        <f t="shared" si="6"/>
        <v>-</v>
      </c>
      <c r="F66" s="65"/>
      <c r="G66" s="65"/>
      <c r="H66" s="42"/>
      <c r="I66" s="44" t="str">
        <f t="shared" si="7"/>
        <v>-</v>
      </c>
      <c r="J66" s="65"/>
      <c r="K66" s="65"/>
      <c r="L66" s="42"/>
      <c r="M66" s="44" t="str">
        <f t="shared" si="8"/>
        <v>-</v>
      </c>
      <c r="N66" s="65"/>
      <c r="O66" s="65"/>
      <c r="P66" s="42"/>
      <c r="Q66" s="44" t="str">
        <f t="shared" si="9"/>
        <v>-</v>
      </c>
      <c r="R66" s="65"/>
      <c r="S66" s="65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64"/>
      <c r="B67" s="41"/>
      <c r="C67" s="41"/>
      <c r="D67" s="41"/>
      <c r="E67" s="44" t="str">
        <f t="shared" si="6"/>
        <v>-</v>
      </c>
      <c r="F67" s="65"/>
      <c r="G67" s="65"/>
      <c r="H67" s="42"/>
      <c r="I67" s="44" t="str">
        <f t="shared" si="7"/>
        <v>-</v>
      </c>
      <c r="J67" s="65"/>
      <c r="K67" s="65"/>
      <c r="L67" s="42"/>
      <c r="M67" s="44" t="str">
        <f t="shared" si="8"/>
        <v>-</v>
      </c>
      <c r="N67" s="65"/>
      <c r="O67" s="65"/>
      <c r="P67" s="42"/>
      <c r="Q67" s="44" t="str">
        <f t="shared" si="9"/>
        <v>-</v>
      </c>
      <c r="R67" s="65"/>
      <c r="S67" s="65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64"/>
      <c r="B68" s="41"/>
      <c r="C68" s="41"/>
      <c r="D68" s="41"/>
      <c r="E68" s="44" t="str">
        <f t="shared" si="6"/>
        <v>-</v>
      </c>
      <c r="F68" s="65"/>
      <c r="G68" s="65"/>
      <c r="H68" s="42"/>
      <c r="I68" s="44" t="str">
        <f t="shared" si="7"/>
        <v>-</v>
      </c>
      <c r="J68" s="65"/>
      <c r="K68" s="65"/>
      <c r="L68" s="42"/>
      <c r="M68" s="44" t="str">
        <f t="shared" si="8"/>
        <v>-</v>
      </c>
      <c r="N68" s="65"/>
      <c r="O68" s="65"/>
      <c r="P68" s="42"/>
      <c r="Q68" s="44" t="str">
        <f t="shared" si="9"/>
        <v>-</v>
      </c>
      <c r="R68" s="65"/>
      <c r="S68" s="65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64"/>
      <c r="B69" s="41"/>
      <c r="C69" s="41"/>
      <c r="D69" s="41"/>
      <c r="E69" s="44" t="str">
        <f t="shared" si="6"/>
        <v>-</v>
      </c>
      <c r="F69" s="65"/>
      <c r="G69" s="65"/>
      <c r="H69" s="42"/>
      <c r="I69" s="44" t="str">
        <f t="shared" si="7"/>
        <v>-</v>
      </c>
      <c r="J69" s="65"/>
      <c r="K69" s="65"/>
      <c r="L69" s="42"/>
      <c r="M69" s="44" t="str">
        <f t="shared" si="8"/>
        <v>-</v>
      </c>
      <c r="N69" s="65"/>
      <c r="O69" s="65"/>
      <c r="P69" s="42"/>
      <c r="Q69" s="44" t="str">
        <f t="shared" si="9"/>
        <v>-</v>
      </c>
      <c r="R69" s="65"/>
      <c r="S69" s="65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64"/>
      <c r="B70" s="41"/>
      <c r="C70" s="41"/>
      <c r="D70" s="41"/>
      <c r="E70" s="44" t="str">
        <f t="shared" ref="E70:E83" si="12">IF(H70&lt;&gt;0,H70-F70*2-G70*20,"-")</f>
        <v>-</v>
      </c>
      <c r="F70" s="65"/>
      <c r="G70" s="65"/>
      <c r="H70" s="42"/>
      <c r="I70" s="44" t="str">
        <f t="shared" ref="I70:I83" si="13">IF(L70&lt;&gt;0,L70-J70*2-K70*20,"-")</f>
        <v>-</v>
      </c>
      <c r="J70" s="65"/>
      <c r="K70" s="65"/>
      <c r="L70" s="42"/>
      <c r="M70" s="44" t="str">
        <f t="shared" ref="M70:M83" si="14">IF(P70&lt;&gt;0,P70-N70*2-O70*20,"-")</f>
        <v>-</v>
      </c>
      <c r="N70" s="65"/>
      <c r="O70" s="65"/>
      <c r="P70" s="42"/>
      <c r="Q70" s="44" t="str">
        <f t="shared" ref="Q70:Q83" si="15">IF(T70&lt;&gt;0,T70-R70*2-S70*20,"-")</f>
        <v>-</v>
      </c>
      <c r="R70" s="65"/>
      <c r="S70" s="65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64"/>
      <c r="B71" s="41"/>
      <c r="C71" s="41"/>
      <c r="D71" s="41"/>
      <c r="E71" s="44" t="str">
        <f t="shared" si="12"/>
        <v>-</v>
      </c>
      <c r="F71" s="65"/>
      <c r="G71" s="65"/>
      <c r="H71" s="42"/>
      <c r="I71" s="44" t="str">
        <f t="shared" si="13"/>
        <v>-</v>
      </c>
      <c r="J71" s="65"/>
      <c r="K71" s="65"/>
      <c r="L71" s="42"/>
      <c r="M71" s="44" t="str">
        <f t="shared" si="14"/>
        <v>-</v>
      </c>
      <c r="N71" s="65"/>
      <c r="O71" s="65"/>
      <c r="P71" s="42"/>
      <c r="Q71" s="44" t="str">
        <f t="shared" si="15"/>
        <v>-</v>
      </c>
      <c r="R71" s="65"/>
      <c r="S71" s="65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64"/>
      <c r="B72" s="41"/>
      <c r="C72" s="41"/>
      <c r="D72" s="41"/>
      <c r="E72" s="44" t="str">
        <f t="shared" si="12"/>
        <v>-</v>
      </c>
      <c r="F72" s="65"/>
      <c r="G72" s="65"/>
      <c r="H72" s="42"/>
      <c r="I72" s="44" t="str">
        <f t="shared" si="13"/>
        <v>-</v>
      </c>
      <c r="J72" s="65"/>
      <c r="K72" s="65"/>
      <c r="L72" s="42"/>
      <c r="M72" s="44" t="str">
        <f t="shared" si="14"/>
        <v>-</v>
      </c>
      <c r="N72" s="65"/>
      <c r="O72" s="65"/>
      <c r="P72" s="42"/>
      <c r="Q72" s="44" t="str">
        <f t="shared" si="15"/>
        <v>-</v>
      </c>
      <c r="R72" s="65"/>
      <c r="S72" s="65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64"/>
      <c r="B73" s="41"/>
      <c r="C73" s="41"/>
      <c r="D73" s="41"/>
      <c r="E73" s="44" t="str">
        <f t="shared" si="12"/>
        <v>-</v>
      </c>
      <c r="F73" s="65"/>
      <c r="G73" s="65"/>
      <c r="H73" s="42"/>
      <c r="I73" s="44" t="str">
        <f t="shared" si="13"/>
        <v>-</v>
      </c>
      <c r="J73" s="65"/>
      <c r="K73" s="65"/>
      <c r="L73" s="42"/>
      <c r="M73" s="44" t="str">
        <f t="shared" si="14"/>
        <v>-</v>
      </c>
      <c r="N73" s="65"/>
      <c r="O73" s="65"/>
      <c r="P73" s="42"/>
      <c r="Q73" s="44" t="str">
        <f t="shared" si="15"/>
        <v>-</v>
      </c>
      <c r="R73" s="65"/>
      <c r="S73" s="65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64"/>
      <c r="B74" s="41"/>
      <c r="C74" s="41"/>
      <c r="D74" s="41"/>
      <c r="E74" s="44" t="str">
        <f t="shared" si="12"/>
        <v>-</v>
      </c>
      <c r="F74" s="65"/>
      <c r="G74" s="65"/>
      <c r="H74" s="42"/>
      <c r="I74" s="44" t="str">
        <f t="shared" si="13"/>
        <v>-</v>
      </c>
      <c r="J74" s="65"/>
      <c r="K74" s="65"/>
      <c r="L74" s="42"/>
      <c r="M74" s="44" t="str">
        <f t="shared" si="14"/>
        <v>-</v>
      </c>
      <c r="N74" s="65"/>
      <c r="O74" s="65"/>
      <c r="P74" s="42"/>
      <c r="Q74" s="44" t="str">
        <f t="shared" si="15"/>
        <v>-</v>
      </c>
      <c r="R74" s="65"/>
      <c r="S74" s="65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64"/>
      <c r="B75" s="41"/>
      <c r="C75" s="41"/>
      <c r="D75" s="41"/>
      <c r="E75" s="44" t="str">
        <f t="shared" si="12"/>
        <v>-</v>
      </c>
      <c r="F75" s="65"/>
      <c r="G75" s="65"/>
      <c r="H75" s="42"/>
      <c r="I75" s="44" t="str">
        <f t="shared" si="13"/>
        <v>-</v>
      </c>
      <c r="J75" s="65"/>
      <c r="K75" s="65"/>
      <c r="L75" s="42"/>
      <c r="M75" s="44" t="str">
        <f t="shared" si="14"/>
        <v>-</v>
      </c>
      <c r="N75" s="65"/>
      <c r="O75" s="65"/>
      <c r="P75" s="42"/>
      <c r="Q75" s="44" t="str">
        <f t="shared" si="15"/>
        <v>-</v>
      </c>
      <c r="R75" s="65"/>
      <c r="S75" s="65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64"/>
      <c r="B76" s="41"/>
      <c r="C76" s="41"/>
      <c r="D76" s="41"/>
      <c r="E76" s="44" t="str">
        <f t="shared" si="12"/>
        <v>-</v>
      </c>
      <c r="F76" s="65"/>
      <c r="G76" s="65"/>
      <c r="H76" s="42"/>
      <c r="I76" s="44" t="str">
        <f t="shared" si="13"/>
        <v>-</v>
      </c>
      <c r="J76" s="65"/>
      <c r="K76" s="65"/>
      <c r="L76" s="42"/>
      <c r="M76" s="44" t="str">
        <f t="shared" si="14"/>
        <v>-</v>
      </c>
      <c r="N76" s="65"/>
      <c r="O76" s="65"/>
      <c r="P76" s="42"/>
      <c r="Q76" s="44" t="str">
        <f t="shared" si="15"/>
        <v>-</v>
      </c>
      <c r="R76" s="65"/>
      <c r="S76" s="65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64"/>
      <c r="B77" s="41"/>
      <c r="C77" s="41"/>
      <c r="D77" s="41"/>
      <c r="E77" s="44" t="str">
        <f t="shared" si="12"/>
        <v>-</v>
      </c>
      <c r="F77" s="65"/>
      <c r="G77" s="65"/>
      <c r="H77" s="42"/>
      <c r="I77" s="44" t="str">
        <f t="shared" si="13"/>
        <v>-</v>
      </c>
      <c r="J77" s="65"/>
      <c r="K77" s="65"/>
      <c r="L77" s="42"/>
      <c r="M77" s="44" t="str">
        <f t="shared" si="14"/>
        <v>-</v>
      </c>
      <c r="N77" s="65"/>
      <c r="O77" s="65"/>
      <c r="P77" s="42"/>
      <c r="Q77" s="44" t="str">
        <f t="shared" si="15"/>
        <v>-</v>
      </c>
      <c r="R77" s="65"/>
      <c r="S77" s="65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64"/>
      <c r="B78" s="41"/>
      <c r="C78" s="41"/>
      <c r="D78" s="41"/>
      <c r="E78" s="44" t="str">
        <f t="shared" si="12"/>
        <v>-</v>
      </c>
      <c r="F78" s="65"/>
      <c r="G78" s="65"/>
      <c r="H78" s="42"/>
      <c r="I78" s="44" t="str">
        <f t="shared" si="13"/>
        <v>-</v>
      </c>
      <c r="J78" s="65"/>
      <c r="K78" s="65"/>
      <c r="L78" s="42"/>
      <c r="M78" s="44" t="str">
        <f t="shared" si="14"/>
        <v>-</v>
      </c>
      <c r="N78" s="65"/>
      <c r="O78" s="65"/>
      <c r="P78" s="42"/>
      <c r="Q78" s="44" t="str">
        <f t="shared" si="15"/>
        <v>-</v>
      </c>
      <c r="R78" s="65"/>
      <c r="S78" s="65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64"/>
      <c r="B79" s="41"/>
      <c r="C79" s="41"/>
      <c r="D79" s="41"/>
      <c r="E79" s="44" t="str">
        <f t="shared" si="12"/>
        <v>-</v>
      </c>
      <c r="F79" s="65"/>
      <c r="G79" s="65"/>
      <c r="H79" s="42"/>
      <c r="I79" s="44" t="str">
        <f t="shared" si="13"/>
        <v>-</v>
      </c>
      <c r="J79" s="65"/>
      <c r="K79" s="65"/>
      <c r="L79" s="42"/>
      <c r="M79" s="44" t="str">
        <f t="shared" si="14"/>
        <v>-</v>
      </c>
      <c r="N79" s="65"/>
      <c r="O79" s="65"/>
      <c r="P79" s="42"/>
      <c r="Q79" s="44" t="str">
        <f t="shared" si="15"/>
        <v>-</v>
      </c>
      <c r="R79" s="65"/>
      <c r="S79" s="65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64"/>
      <c r="B80" s="41"/>
      <c r="C80" s="41"/>
      <c r="D80" s="41"/>
      <c r="E80" s="44" t="str">
        <f t="shared" si="12"/>
        <v>-</v>
      </c>
      <c r="F80" s="65"/>
      <c r="G80" s="65"/>
      <c r="H80" s="42"/>
      <c r="I80" s="44" t="str">
        <f t="shared" si="13"/>
        <v>-</v>
      </c>
      <c r="J80" s="65"/>
      <c r="K80" s="65"/>
      <c r="L80" s="42"/>
      <c r="M80" s="44" t="str">
        <f t="shared" si="14"/>
        <v>-</v>
      </c>
      <c r="N80" s="65"/>
      <c r="O80" s="65"/>
      <c r="P80" s="42"/>
      <c r="Q80" s="44" t="str">
        <f t="shared" si="15"/>
        <v>-</v>
      </c>
      <c r="R80" s="65"/>
      <c r="S80" s="65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64"/>
      <c r="B81" s="41"/>
      <c r="C81" s="41"/>
      <c r="D81" s="41"/>
      <c r="E81" s="44" t="str">
        <f t="shared" si="12"/>
        <v>-</v>
      </c>
      <c r="F81" s="65"/>
      <c r="G81" s="65"/>
      <c r="H81" s="42"/>
      <c r="I81" s="44" t="str">
        <f t="shared" si="13"/>
        <v>-</v>
      </c>
      <c r="J81" s="65"/>
      <c r="K81" s="65"/>
      <c r="L81" s="42"/>
      <c r="M81" s="44" t="str">
        <f t="shared" si="14"/>
        <v>-</v>
      </c>
      <c r="N81" s="65"/>
      <c r="O81" s="65"/>
      <c r="P81" s="42"/>
      <c r="Q81" s="44" t="str">
        <f t="shared" si="15"/>
        <v>-</v>
      </c>
      <c r="R81" s="65"/>
      <c r="S81" s="65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64"/>
      <c r="B82" s="41"/>
      <c r="C82" s="41"/>
      <c r="D82" s="41"/>
      <c r="E82" s="44" t="str">
        <f t="shared" si="12"/>
        <v>-</v>
      </c>
      <c r="F82" s="65"/>
      <c r="G82" s="65"/>
      <c r="H82" s="42"/>
      <c r="I82" s="44" t="str">
        <f t="shared" si="13"/>
        <v>-</v>
      </c>
      <c r="J82" s="65"/>
      <c r="K82" s="65"/>
      <c r="L82" s="42"/>
      <c r="M82" s="44" t="str">
        <f t="shared" si="14"/>
        <v>-</v>
      </c>
      <c r="N82" s="65"/>
      <c r="O82" s="65"/>
      <c r="P82" s="42"/>
      <c r="Q82" s="44" t="str">
        <f t="shared" si="15"/>
        <v>-</v>
      </c>
      <c r="R82" s="65"/>
      <c r="S82" s="65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64"/>
      <c r="B83" s="41"/>
      <c r="C83" s="41"/>
      <c r="D83" s="41"/>
      <c r="E83" s="44" t="str">
        <f t="shared" si="12"/>
        <v>-</v>
      </c>
      <c r="F83" s="65"/>
      <c r="G83" s="65"/>
      <c r="H83" s="42"/>
      <c r="I83" s="44" t="str">
        <f t="shared" si="13"/>
        <v>-</v>
      </c>
      <c r="J83" s="65"/>
      <c r="K83" s="65"/>
      <c r="L83" s="42"/>
      <c r="M83" s="44" t="str">
        <f t="shared" si="14"/>
        <v>-</v>
      </c>
      <c r="N83" s="65"/>
      <c r="O83" s="65"/>
      <c r="P83" s="42"/>
      <c r="Q83" s="44" t="str">
        <f t="shared" si="15"/>
        <v>-</v>
      </c>
      <c r="R83" s="65"/>
      <c r="S83" s="65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64"/>
      <c r="B84" s="41"/>
      <c r="C84" s="41"/>
      <c r="D84" s="41"/>
      <c r="E84" s="44" t="str">
        <f t="shared" ref="E84" si="18">IF(H84&lt;&gt;0,H84-F84*2-G84*20,"-")</f>
        <v>-</v>
      </c>
      <c r="F84" s="65"/>
      <c r="G84" s="65"/>
      <c r="H84" s="42"/>
      <c r="I84" s="44" t="str">
        <f t="shared" ref="I84" si="19">IF(L84&lt;&gt;0,L84-J84*2-K84*20,"-")</f>
        <v>-</v>
      </c>
      <c r="J84" s="65"/>
      <c r="K84" s="65"/>
      <c r="L84" s="42"/>
      <c r="M84" s="44" t="str">
        <f t="shared" ref="M84" si="20">IF(P84&lt;&gt;0,P84-N84*2-O84*20,"-")</f>
        <v>-</v>
      </c>
      <c r="N84" s="65"/>
      <c r="O84" s="65"/>
      <c r="P84" s="42"/>
      <c r="Q84" s="44" t="str">
        <f t="shared" ref="Q84" si="21">IF(T84&lt;&gt;0,T84-R84*2-S84*20,"-")</f>
        <v>-</v>
      </c>
      <c r="R84" s="65"/>
      <c r="S84" s="65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64"/>
      <c r="B85" s="41"/>
      <c r="C85" s="41"/>
      <c r="D85" s="41"/>
      <c r="E85" s="44" t="str">
        <f t="shared" ref="E85" si="24">IF(H85&lt;&gt;0,H85-F85*2-G85*20,"-")</f>
        <v>-</v>
      </c>
      <c r="F85" s="65"/>
      <c r="G85" s="65"/>
      <c r="H85" s="42"/>
      <c r="I85" s="44" t="str">
        <f t="shared" ref="I85" si="25">IF(L85&lt;&gt;0,L85-J85*2-K85*20,"-")</f>
        <v>-</v>
      </c>
      <c r="J85" s="65"/>
      <c r="K85" s="65"/>
      <c r="L85" s="42"/>
      <c r="M85" s="44" t="str">
        <f t="shared" ref="M85" si="26">IF(P85&lt;&gt;0,P85-N85*2-O85*20,"-")</f>
        <v>-</v>
      </c>
      <c r="N85" s="65"/>
      <c r="O85" s="65"/>
      <c r="P85" s="42"/>
      <c r="Q85" s="44" t="str">
        <f t="shared" ref="Q85" si="27">IF(T85&lt;&gt;0,T85-R85*2-S85*20,"-")</f>
        <v>-</v>
      </c>
      <c r="R85" s="65"/>
      <c r="S85" s="65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P195"/>
  <sheetViews>
    <sheetView topLeftCell="E6" workbookViewId="0">
      <selection activeCell="U42" sqref="U42:U4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7109375" customWidth="1"/>
    <col min="10" max="11" width="9.7109375" customWidth="1"/>
    <col min="12" max="12" width="10" customWidth="1"/>
    <col min="13" max="15" width="9.7109375" customWidth="1"/>
    <col min="16" max="16" width="8.85546875" customWidth="1"/>
  </cols>
  <sheetData>
    <row r="1" spans="1:16" ht="12.75" customHeight="1" x14ac:dyDescent="0.25">
      <c r="A1" s="15" t="s">
        <v>20</v>
      </c>
      <c r="B1" s="16"/>
      <c r="C1" s="16"/>
      <c r="D1" s="16"/>
      <c r="E1" s="16"/>
      <c r="F1" s="66"/>
      <c r="G1" s="66"/>
      <c r="H1" s="20"/>
      <c r="I1" s="67" t="s">
        <v>6</v>
      </c>
      <c r="J1" s="55"/>
      <c r="K1" s="55"/>
      <c r="L1" s="62">
        <f>MIN(K11:K50)</f>
        <v>0</v>
      </c>
      <c r="M1" s="55" t="s">
        <v>21</v>
      </c>
      <c r="N1" s="55"/>
      <c r="O1" s="55"/>
      <c r="P1" s="62">
        <v>60.06</v>
      </c>
    </row>
    <row r="2" spans="1:16" ht="12.75" customHeight="1" x14ac:dyDescent="0.25">
      <c r="A2" s="15"/>
      <c r="B2" s="16"/>
      <c r="C2" s="16"/>
      <c r="D2" s="16"/>
      <c r="E2" s="16"/>
      <c r="F2" s="66"/>
      <c r="G2" s="66"/>
      <c r="H2" s="20"/>
      <c r="I2" s="68" t="s">
        <v>7</v>
      </c>
      <c r="J2" s="16"/>
      <c r="K2" s="16"/>
      <c r="L2" s="69">
        <f>1.45*L1</f>
        <v>0</v>
      </c>
      <c r="M2" s="16" t="s">
        <v>22</v>
      </c>
      <c r="N2" s="16"/>
      <c r="O2" s="16"/>
      <c r="P2" s="69">
        <f>P1/100*L6</f>
        <v>13.453440000000002</v>
      </c>
    </row>
    <row r="3" spans="1:16" ht="12.75" customHeight="1" x14ac:dyDescent="0.25">
      <c r="A3" s="15"/>
      <c r="B3" s="16"/>
      <c r="C3" s="16"/>
      <c r="D3" s="16"/>
      <c r="E3" s="16"/>
      <c r="F3" s="70"/>
      <c r="G3" s="70"/>
      <c r="H3" s="20"/>
      <c r="I3" s="68" t="s">
        <v>23</v>
      </c>
      <c r="J3" s="16"/>
      <c r="K3" s="16"/>
      <c r="L3" s="57">
        <v>28</v>
      </c>
      <c r="M3" s="16" t="s">
        <v>24</v>
      </c>
      <c r="N3" s="16"/>
      <c r="O3" s="20"/>
      <c r="P3" s="28">
        <v>0</v>
      </c>
    </row>
    <row r="4" spans="1:16" ht="12.75" customHeight="1" x14ac:dyDescent="0.25">
      <c r="A4" s="15"/>
      <c r="B4" s="16"/>
      <c r="C4" s="16"/>
      <c r="D4" s="16"/>
      <c r="E4" s="16"/>
      <c r="F4" s="70"/>
      <c r="G4" s="70"/>
      <c r="H4" s="20"/>
      <c r="I4" s="68" t="s">
        <v>25</v>
      </c>
      <c r="J4" s="16"/>
      <c r="K4" s="16"/>
      <c r="L4" s="69">
        <f>L2/L3</f>
        <v>0</v>
      </c>
      <c r="M4" s="16" t="s">
        <v>26</v>
      </c>
      <c r="N4" s="16"/>
      <c r="O4" s="20"/>
      <c r="P4" s="28">
        <f>P2/L3</f>
        <v>0.48048000000000007</v>
      </c>
    </row>
    <row r="5" spans="1:16" ht="12.75" customHeight="1" x14ac:dyDescent="0.25">
      <c r="A5" s="15"/>
      <c r="B5" s="16"/>
      <c r="C5" s="16"/>
      <c r="D5" s="16"/>
      <c r="E5" s="16"/>
      <c r="F5" s="16"/>
      <c r="G5" s="16"/>
      <c r="H5" s="16"/>
      <c r="I5" s="68" t="s">
        <v>27</v>
      </c>
      <c r="J5" s="16"/>
      <c r="K5" s="16"/>
      <c r="L5" s="69">
        <v>0.8</v>
      </c>
      <c r="M5" s="16" t="s">
        <v>28</v>
      </c>
      <c r="N5" s="16"/>
      <c r="O5" s="20"/>
      <c r="P5" s="28">
        <v>0</v>
      </c>
    </row>
    <row r="6" spans="1:16" ht="12.75" customHeight="1" x14ac:dyDescent="0.25">
      <c r="A6" s="15"/>
      <c r="B6" s="16"/>
      <c r="C6" s="16"/>
      <c r="D6" s="16"/>
      <c r="E6" s="16"/>
      <c r="F6" s="16"/>
      <c r="G6" s="16"/>
      <c r="H6" s="16"/>
      <c r="I6" s="68" t="s">
        <v>29</v>
      </c>
      <c r="J6" s="16"/>
      <c r="K6" s="16"/>
      <c r="L6" s="69">
        <f>L5*L3</f>
        <v>22.400000000000002</v>
      </c>
      <c r="M6" s="16" t="s">
        <v>30</v>
      </c>
      <c r="N6" s="20"/>
      <c r="O6" s="20"/>
      <c r="P6" s="28">
        <f>P5/L3</f>
        <v>0</v>
      </c>
    </row>
    <row r="7" spans="1:16" ht="12.75" customHeight="1" x14ac:dyDescent="0.25">
      <c r="A7" s="15"/>
      <c r="B7" s="16"/>
      <c r="C7" s="16"/>
      <c r="D7" s="16"/>
      <c r="E7" s="16"/>
      <c r="F7" s="20"/>
      <c r="G7" s="20"/>
      <c r="H7" s="16"/>
      <c r="I7" s="68" t="s">
        <v>31</v>
      </c>
      <c r="J7" s="20"/>
      <c r="K7" s="20"/>
      <c r="L7" s="71">
        <f>L3/2</f>
        <v>14</v>
      </c>
      <c r="M7" s="16" t="s">
        <v>32</v>
      </c>
      <c r="N7" s="20"/>
      <c r="O7" s="20"/>
      <c r="P7" s="69" t="e">
        <f>100*(P5/L4)*P3/P4</f>
        <v>#DIV/0!</v>
      </c>
    </row>
    <row r="8" spans="1:16" ht="12.75" customHeight="1" x14ac:dyDescent="0.25">
      <c r="A8" s="15"/>
      <c r="B8" s="16"/>
      <c r="C8" s="16"/>
      <c r="D8" s="16"/>
      <c r="E8" s="66"/>
      <c r="F8" s="70"/>
      <c r="G8" s="70"/>
      <c r="H8" s="20"/>
      <c r="I8" s="72"/>
      <c r="J8" s="20"/>
      <c r="K8" s="20"/>
      <c r="L8" s="57"/>
      <c r="M8" s="16" t="s">
        <v>33</v>
      </c>
      <c r="N8" s="20"/>
      <c r="O8" s="20"/>
      <c r="P8" s="69"/>
    </row>
    <row r="9" spans="1:16" ht="12.75" customHeight="1" x14ac:dyDescent="0.25">
      <c r="A9" s="15"/>
      <c r="B9" s="16"/>
      <c r="C9" s="16"/>
      <c r="D9" s="16"/>
      <c r="E9" s="66"/>
      <c r="F9" s="70"/>
      <c r="G9" s="70"/>
      <c r="H9" s="20"/>
      <c r="I9" s="50"/>
      <c r="J9" s="31"/>
      <c r="K9" s="31"/>
      <c r="L9" s="32"/>
      <c r="M9" s="58"/>
      <c r="N9" s="58"/>
      <c r="O9" s="58"/>
      <c r="P9" s="32"/>
    </row>
    <row r="10" spans="1:16" ht="26.25" thickBot="1" x14ac:dyDescent="0.3">
      <c r="A10" s="38" t="s">
        <v>0</v>
      </c>
      <c r="B10" s="38" t="s">
        <v>1</v>
      </c>
      <c r="C10" s="38" t="s">
        <v>2</v>
      </c>
      <c r="D10" s="38" t="s">
        <v>3</v>
      </c>
      <c r="E10" s="38" t="s">
        <v>12</v>
      </c>
      <c r="F10" s="38" t="s">
        <v>34</v>
      </c>
      <c r="G10" s="38" t="s">
        <v>35</v>
      </c>
      <c r="H10" s="38" t="s">
        <v>36</v>
      </c>
      <c r="I10" s="38" t="s">
        <v>19</v>
      </c>
      <c r="J10" s="38" t="s">
        <v>37</v>
      </c>
      <c r="K10" s="38" t="s">
        <v>38</v>
      </c>
      <c r="L10" s="38" t="s">
        <v>39</v>
      </c>
      <c r="M10" s="73" t="s">
        <v>40</v>
      </c>
      <c r="N10" s="38" t="s">
        <v>41</v>
      </c>
      <c r="O10" s="38" t="s">
        <v>42</v>
      </c>
      <c r="P10" s="38" t="s">
        <v>43</v>
      </c>
    </row>
    <row r="11" spans="1:16" ht="12.75" customHeight="1" x14ac:dyDescent="0.25">
      <c r="A11" s="41"/>
      <c r="B11" s="41"/>
      <c r="C11" s="41"/>
      <c r="D11" s="41"/>
      <c r="E11" s="42"/>
      <c r="F11" s="65"/>
      <c r="G11" s="65"/>
      <c r="H11" s="65"/>
      <c r="I11" s="65"/>
      <c r="J11" s="42"/>
      <c r="K11" s="42"/>
      <c r="L11" s="42"/>
      <c r="M11" s="42"/>
      <c r="N11" s="42"/>
      <c r="O11" s="42"/>
      <c r="P11" s="45"/>
    </row>
    <row r="12" spans="1:16" ht="12.75" customHeight="1" x14ac:dyDescent="0.25">
      <c r="A12" s="64"/>
      <c r="B12" s="41"/>
      <c r="C12" s="41"/>
      <c r="D12" s="41"/>
      <c r="E12" s="42"/>
      <c r="F12" s="65"/>
      <c r="G12" s="65"/>
      <c r="H12" s="65"/>
      <c r="I12" s="65"/>
      <c r="J12" s="42"/>
      <c r="K12" s="42"/>
      <c r="L12" s="42"/>
      <c r="M12" s="42"/>
      <c r="N12" s="42"/>
      <c r="O12" s="42"/>
      <c r="P12" s="42"/>
    </row>
    <row r="13" spans="1:16" ht="12.75" customHeight="1" x14ac:dyDescent="0.25">
      <c r="A13" s="64"/>
      <c r="B13" s="41"/>
      <c r="C13" s="41"/>
      <c r="D13" s="41"/>
      <c r="E13" s="42"/>
      <c r="F13" s="65"/>
      <c r="G13" s="65"/>
      <c r="H13" s="65"/>
      <c r="I13" s="65"/>
      <c r="J13" s="42"/>
      <c r="K13" s="42"/>
      <c r="L13" s="42"/>
      <c r="M13" s="42"/>
      <c r="N13" s="42"/>
      <c r="O13" s="42"/>
      <c r="P13" s="42"/>
    </row>
    <row r="14" spans="1:16" ht="12.75" customHeight="1" x14ac:dyDescent="0.25">
      <c r="A14" s="41"/>
      <c r="B14" s="41"/>
      <c r="C14" s="41"/>
      <c r="D14" s="41"/>
      <c r="E14" s="42"/>
      <c r="F14" s="65"/>
      <c r="G14" s="65"/>
      <c r="H14" s="65"/>
      <c r="I14" s="65"/>
      <c r="J14" s="42"/>
      <c r="K14" s="42"/>
      <c r="L14" s="42"/>
      <c r="M14" s="42"/>
      <c r="N14" s="42"/>
      <c r="O14" s="42"/>
      <c r="P14" s="42"/>
    </row>
    <row r="15" spans="1:16" ht="12.75" customHeight="1" x14ac:dyDescent="0.25">
      <c r="A15" s="64"/>
      <c r="B15" s="41"/>
      <c r="C15" s="41"/>
      <c r="D15" s="41"/>
      <c r="E15" s="42"/>
      <c r="F15" s="65"/>
      <c r="G15" s="65"/>
      <c r="H15" s="65"/>
      <c r="I15" s="65"/>
      <c r="J15" s="42"/>
      <c r="K15" s="42"/>
      <c r="L15" s="42"/>
      <c r="M15" s="42"/>
      <c r="N15" s="42"/>
      <c r="O15" s="42"/>
      <c r="P15" s="42"/>
    </row>
    <row r="16" spans="1:16" ht="12.75" customHeight="1" x14ac:dyDescent="0.25">
      <c r="A16" s="64"/>
      <c r="B16" s="41"/>
      <c r="C16" s="41"/>
      <c r="D16" s="41"/>
      <c r="E16" s="42"/>
      <c r="F16" s="65"/>
      <c r="G16" s="65"/>
      <c r="H16" s="65"/>
      <c r="I16" s="65"/>
      <c r="J16" s="42"/>
      <c r="K16" s="42"/>
      <c r="L16" s="42"/>
      <c r="M16" s="42"/>
      <c r="N16" s="42"/>
      <c r="O16" s="42"/>
      <c r="P16" s="42"/>
    </row>
    <row r="17" spans="1:16" ht="12.75" customHeight="1" x14ac:dyDescent="0.25">
      <c r="A17" s="41"/>
      <c r="B17" s="41"/>
      <c r="C17" s="41"/>
      <c r="D17" s="41"/>
      <c r="E17" s="42"/>
      <c r="F17" s="65"/>
      <c r="G17" s="65"/>
      <c r="H17" s="65"/>
      <c r="I17" s="65"/>
      <c r="J17" s="42"/>
      <c r="K17" s="42"/>
      <c r="L17" s="42"/>
      <c r="M17" s="42"/>
      <c r="N17" s="42"/>
      <c r="O17" s="42"/>
      <c r="P17" s="42"/>
    </row>
    <row r="18" spans="1:16" ht="12.75" customHeight="1" x14ac:dyDescent="0.25">
      <c r="A18" s="64"/>
      <c r="B18" s="41"/>
      <c r="C18" s="41"/>
      <c r="D18" s="41"/>
      <c r="E18" s="42"/>
      <c r="F18" s="65"/>
      <c r="G18" s="65"/>
      <c r="H18" s="65"/>
      <c r="I18" s="65"/>
      <c r="J18" s="42"/>
      <c r="K18" s="42"/>
      <c r="L18" s="42"/>
      <c r="M18" s="42"/>
      <c r="N18" s="42"/>
      <c r="O18" s="42"/>
      <c r="P18" s="42"/>
    </row>
    <row r="19" spans="1:16" ht="12.75" customHeight="1" x14ac:dyDescent="0.25">
      <c r="A19" s="64"/>
      <c r="B19" s="41"/>
      <c r="C19" s="41"/>
      <c r="D19" s="41"/>
      <c r="E19" s="42"/>
      <c r="F19" s="65"/>
      <c r="G19" s="65"/>
      <c r="H19" s="65"/>
      <c r="I19" s="65"/>
      <c r="J19" s="42"/>
      <c r="K19" s="42"/>
      <c r="L19" s="42"/>
      <c r="M19" s="42"/>
      <c r="N19" s="42"/>
      <c r="O19" s="42"/>
      <c r="P19" s="42"/>
    </row>
    <row r="20" spans="1:16" ht="12.75" customHeight="1" x14ac:dyDescent="0.25">
      <c r="A20" s="41"/>
      <c r="B20" s="41"/>
      <c r="C20" s="41"/>
      <c r="D20" s="41"/>
      <c r="E20" s="42"/>
      <c r="F20" s="65"/>
      <c r="G20" s="65"/>
      <c r="H20" s="65"/>
      <c r="I20" s="65"/>
      <c r="J20" s="42"/>
      <c r="K20" s="42"/>
      <c r="L20" s="42"/>
      <c r="M20" s="42"/>
      <c r="N20" s="42"/>
      <c r="O20" s="42"/>
      <c r="P20" s="42"/>
    </row>
    <row r="21" spans="1:16" ht="12.75" customHeight="1" x14ac:dyDescent="0.25">
      <c r="A21" s="64"/>
      <c r="B21" s="41"/>
      <c r="C21" s="41"/>
      <c r="D21" s="41"/>
      <c r="E21" s="42"/>
      <c r="F21" s="65"/>
      <c r="G21" s="65"/>
      <c r="H21" s="65"/>
      <c r="I21" s="65"/>
      <c r="J21" s="42"/>
      <c r="K21" s="42"/>
      <c r="L21" s="42"/>
      <c r="M21" s="42"/>
      <c r="N21" s="42"/>
      <c r="O21" s="42"/>
      <c r="P21" s="42"/>
    </row>
    <row r="22" spans="1:16" ht="12.75" customHeight="1" x14ac:dyDescent="0.25">
      <c r="A22" s="64"/>
      <c r="B22" s="41"/>
      <c r="C22" s="41"/>
      <c r="D22" s="41"/>
      <c r="E22" s="42"/>
      <c r="F22" s="65"/>
      <c r="G22" s="65"/>
      <c r="H22" s="65"/>
      <c r="I22" s="65"/>
      <c r="J22" s="42"/>
      <c r="K22" s="42"/>
      <c r="L22" s="42"/>
      <c r="M22" s="42"/>
      <c r="N22" s="42"/>
      <c r="O22" s="42"/>
      <c r="P22" s="42"/>
    </row>
    <row r="23" spans="1:16" ht="12.75" customHeight="1" x14ac:dyDescent="0.25">
      <c r="A23" s="41"/>
      <c r="B23" s="41"/>
      <c r="C23" s="41"/>
      <c r="D23" s="41"/>
      <c r="E23" s="42"/>
      <c r="F23" s="65"/>
      <c r="G23" s="65"/>
      <c r="H23" s="65"/>
      <c r="I23" s="65"/>
      <c r="J23" s="42"/>
      <c r="K23" s="42"/>
      <c r="L23" s="42"/>
      <c r="M23" s="42"/>
      <c r="N23" s="42"/>
      <c r="O23" s="42"/>
      <c r="P23" s="42"/>
    </row>
    <row r="24" spans="1:16" ht="12.75" customHeight="1" x14ac:dyDescent="0.25">
      <c r="A24" s="64"/>
      <c r="B24" s="41"/>
      <c r="C24" s="41"/>
      <c r="D24" s="41"/>
      <c r="E24" s="42"/>
      <c r="F24" s="65"/>
      <c r="G24" s="65"/>
      <c r="H24" s="65"/>
      <c r="I24" s="65"/>
      <c r="J24" s="42"/>
      <c r="K24" s="42"/>
      <c r="L24" s="42"/>
      <c r="M24" s="42"/>
      <c r="N24" s="42"/>
      <c r="O24" s="42"/>
      <c r="P24" s="42"/>
    </row>
    <row r="25" spans="1:16" ht="12.75" customHeight="1" x14ac:dyDescent="0.25">
      <c r="A25" s="64"/>
      <c r="B25" s="41"/>
      <c r="C25" s="41"/>
      <c r="D25" s="41"/>
      <c r="E25" s="42"/>
      <c r="F25" s="65"/>
      <c r="G25" s="65"/>
      <c r="H25" s="65"/>
      <c r="I25" s="65"/>
      <c r="J25" s="42"/>
      <c r="K25" s="42"/>
      <c r="L25" s="42"/>
      <c r="M25" s="42"/>
      <c r="N25" s="42"/>
      <c r="O25" s="42"/>
      <c r="P25" s="42"/>
    </row>
    <row r="26" spans="1:16" ht="12.75" customHeight="1" x14ac:dyDescent="0.25">
      <c r="A26" s="41"/>
      <c r="B26" s="41"/>
      <c r="C26" s="41"/>
      <c r="D26" s="41"/>
      <c r="E26" s="42"/>
      <c r="F26" s="65"/>
      <c r="G26" s="65"/>
      <c r="H26" s="65"/>
      <c r="I26" s="65"/>
      <c r="J26" s="42"/>
      <c r="K26" s="42"/>
      <c r="L26" s="42"/>
      <c r="M26" s="42"/>
      <c r="N26" s="42"/>
      <c r="O26" s="42"/>
      <c r="P26" s="42"/>
    </row>
    <row r="27" spans="1:16" ht="12.75" customHeight="1" x14ac:dyDescent="0.25">
      <c r="A27" s="64"/>
      <c r="B27" s="41"/>
      <c r="C27" s="41"/>
      <c r="D27" s="41"/>
      <c r="E27" s="42"/>
      <c r="F27" s="65"/>
      <c r="G27" s="65"/>
      <c r="H27" s="65"/>
      <c r="I27" s="65"/>
      <c r="J27" s="42"/>
      <c r="K27" s="42"/>
      <c r="L27" s="42"/>
      <c r="M27" s="42"/>
      <c r="N27" s="42"/>
      <c r="O27" s="42"/>
      <c r="P27" s="42"/>
    </row>
    <row r="28" spans="1:16" ht="12.75" customHeight="1" x14ac:dyDescent="0.25">
      <c r="A28" s="64"/>
      <c r="B28" s="41"/>
      <c r="C28" s="41"/>
      <c r="D28" s="41"/>
      <c r="E28" s="42"/>
      <c r="F28" s="65"/>
      <c r="G28" s="65"/>
      <c r="H28" s="65"/>
      <c r="I28" s="65"/>
      <c r="J28" s="42"/>
      <c r="K28" s="42"/>
      <c r="L28" s="42"/>
      <c r="M28" s="42"/>
      <c r="N28" s="42"/>
      <c r="O28" s="42"/>
      <c r="P28" s="42"/>
    </row>
    <row r="29" spans="1:16" ht="12.75" customHeight="1" x14ac:dyDescent="0.25">
      <c r="A29" s="41"/>
      <c r="B29" s="41"/>
      <c r="C29" s="41"/>
      <c r="D29" s="41"/>
      <c r="E29" s="42"/>
      <c r="F29" s="65"/>
      <c r="G29" s="65"/>
      <c r="H29" s="65"/>
      <c r="I29" s="65"/>
      <c r="J29" s="42"/>
      <c r="K29" s="42"/>
      <c r="L29" s="42"/>
      <c r="M29" s="42"/>
      <c r="N29" s="42"/>
      <c r="O29" s="42"/>
      <c r="P29" s="42"/>
    </row>
    <row r="30" spans="1:16" ht="12.75" customHeight="1" x14ac:dyDescent="0.25">
      <c r="A30" s="64"/>
      <c r="B30" s="41"/>
      <c r="C30" s="41"/>
      <c r="D30" s="41"/>
      <c r="E30" s="42"/>
      <c r="F30" s="65"/>
      <c r="G30" s="65"/>
      <c r="H30" s="65"/>
      <c r="I30" s="65"/>
      <c r="J30" s="42"/>
      <c r="K30" s="42"/>
      <c r="L30" s="42"/>
      <c r="M30" s="42"/>
      <c r="N30" s="42"/>
      <c r="O30" s="42"/>
      <c r="P30" s="42"/>
    </row>
    <row r="31" spans="1:16" ht="12.75" customHeight="1" x14ac:dyDescent="0.25">
      <c r="A31" s="64"/>
      <c r="B31" s="41"/>
      <c r="C31" s="41"/>
      <c r="D31" s="41"/>
      <c r="E31" s="42"/>
      <c r="F31" s="65"/>
      <c r="G31" s="65"/>
      <c r="H31" s="65"/>
      <c r="I31" s="65"/>
      <c r="J31" s="42"/>
      <c r="K31" s="42"/>
      <c r="L31" s="42"/>
      <c r="M31" s="42"/>
      <c r="N31" s="42"/>
      <c r="O31" s="42"/>
      <c r="P31" s="42"/>
    </row>
    <row r="32" spans="1:16" ht="12.75" customHeight="1" x14ac:dyDescent="0.25">
      <c r="A32" s="41"/>
      <c r="B32" s="41"/>
      <c r="C32" s="41"/>
      <c r="D32" s="41"/>
      <c r="E32" s="42"/>
      <c r="F32" s="65"/>
      <c r="G32" s="65"/>
      <c r="H32" s="65"/>
      <c r="I32" s="65"/>
      <c r="J32" s="42"/>
      <c r="K32" s="42"/>
      <c r="L32" s="42"/>
      <c r="M32" s="42"/>
      <c r="N32" s="42"/>
      <c r="O32" s="42"/>
      <c r="P32" s="42"/>
    </row>
    <row r="33" spans="1:16" ht="12.75" customHeight="1" x14ac:dyDescent="0.25">
      <c r="A33" s="64"/>
      <c r="B33" s="41"/>
      <c r="C33" s="41"/>
      <c r="D33" s="41"/>
      <c r="E33" s="42"/>
      <c r="F33" s="65"/>
      <c r="G33" s="65"/>
      <c r="H33" s="65"/>
      <c r="I33" s="65"/>
      <c r="J33" s="42"/>
      <c r="K33" s="42"/>
      <c r="L33" s="42"/>
      <c r="M33" s="42"/>
      <c r="N33" s="42"/>
      <c r="O33" s="42"/>
      <c r="P33" s="42"/>
    </row>
    <row r="34" spans="1:16" ht="12.75" customHeight="1" x14ac:dyDescent="0.25">
      <c r="A34" s="64"/>
      <c r="B34" s="41"/>
      <c r="C34" s="41"/>
      <c r="D34" s="41"/>
      <c r="E34" s="42"/>
      <c r="F34" s="65"/>
      <c r="G34" s="65"/>
      <c r="H34" s="65"/>
      <c r="I34" s="65"/>
      <c r="J34" s="42"/>
      <c r="K34" s="42"/>
      <c r="L34" s="42"/>
      <c r="M34" s="42"/>
      <c r="N34" s="42"/>
      <c r="O34" s="42"/>
      <c r="P34" s="42"/>
    </row>
    <row r="35" spans="1:16" ht="12.75" customHeight="1" x14ac:dyDescent="0.25">
      <c r="A35" s="64"/>
      <c r="B35" s="41"/>
      <c r="C35" s="41"/>
      <c r="D35" s="41"/>
      <c r="E35" s="42"/>
      <c r="F35" s="65"/>
      <c r="G35" s="65"/>
      <c r="H35" s="65"/>
      <c r="I35" s="65"/>
      <c r="J35" s="42"/>
      <c r="K35" s="42"/>
      <c r="L35" s="42"/>
      <c r="M35" s="42"/>
      <c r="N35" s="42"/>
      <c r="O35" s="42"/>
      <c r="P35" s="42"/>
    </row>
    <row r="36" spans="1:16" ht="12.75" customHeight="1" x14ac:dyDescent="0.25">
      <c r="A36" s="64"/>
      <c r="B36" s="41"/>
      <c r="C36" s="41"/>
      <c r="D36" s="41"/>
      <c r="E36" s="42"/>
      <c r="F36" s="65"/>
      <c r="G36" s="65"/>
      <c r="H36" s="65"/>
      <c r="I36" s="65"/>
      <c r="J36" s="42"/>
      <c r="K36" s="42"/>
      <c r="L36" s="42"/>
      <c r="M36" s="42"/>
      <c r="N36" s="42"/>
      <c r="O36" s="42"/>
      <c r="P36" s="42"/>
    </row>
    <row r="37" spans="1:16" ht="12.75" customHeight="1" x14ac:dyDescent="0.25">
      <c r="A37" s="64"/>
      <c r="B37" s="41"/>
      <c r="C37" s="41"/>
      <c r="D37" s="41"/>
      <c r="E37" s="42"/>
      <c r="F37" s="65"/>
      <c r="G37" s="65"/>
      <c r="H37" s="65"/>
      <c r="I37" s="65"/>
      <c r="J37" s="42"/>
      <c r="K37" s="42"/>
      <c r="L37" s="42"/>
      <c r="M37" s="42"/>
      <c r="N37" s="42"/>
      <c r="O37" s="42"/>
      <c r="P37" s="42"/>
    </row>
    <row r="38" spans="1:16" ht="12.75" customHeight="1" x14ac:dyDescent="0.25">
      <c r="A38" s="64"/>
      <c r="B38" s="41"/>
      <c r="C38" s="41"/>
      <c r="D38" s="41"/>
      <c r="E38" s="42"/>
      <c r="F38" s="65"/>
      <c r="G38" s="65"/>
      <c r="H38" s="65"/>
      <c r="I38" s="65"/>
      <c r="J38" s="42"/>
      <c r="K38" s="42"/>
      <c r="L38" s="42"/>
      <c r="M38" s="42"/>
      <c r="N38" s="42"/>
      <c r="O38" s="42"/>
      <c r="P38" s="42"/>
    </row>
    <row r="39" spans="1:16" ht="12.75" customHeight="1" x14ac:dyDescent="0.25">
      <c r="A39" s="64"/>
      <c r="B39" s="41"/>
      <c r="C39" s="41"/>
      <c r="D39" s="41"/>
      <c r="E39" s="42"/>
      <c r="F39" s="65"/>
      <c r="G39" s="65"/>
      <c r="H39" s="65"/>
      <c r="I39" s="65"/>
      <c r="J39" s="42"/>
      <c r="K39" s="42"/>
      <c r="L39" s="42"/>
      <c r="M39" s="42"/>
      <c r="N39" s="42"/>
      <c r="O39" s="42"/>
      <c r="P39" s="42"/>
    </row>
    <row r="40" spans="1:16" ht="12.75" customHeight="1" x14ac:dyDescent="0.25">
      <c r="A40" s="64"/>
      <c r="B40" s="41"/>
      <c r="C40" s="41"/>
      <c r="D40" s="41"/>
      <c r="E40" s="42"/>
      <c r="F40" s="65"/>
      <c r="G40" s="65"/>
      <c r="H40" s="65"/>
      <c r="I40" s="65"/>
      <c r="J40" s="42"/>
      <c r="K40" s="42"/>
      <c r="L40" s="42"/>
      <c r="M40" s="42"/>
      <c r="N40" s="42"/>
      <c r="O40" s="42"/>
      <c r="P40" s="42"/>
    </row>
    <row r="41" spans="1:16" ht="12.75" customHeight="1" x14ac:dyDescent="0.25">
      <c r="A41" s="41"/>
      <c r="B41" s="41"/>
      <c r="C41" s="41"/>
      <c r="D41" s="41"/>
      <c r="E41" s="42"/>
      <c r="F41" s="65"/>
      <c r="G41" s="65"/>
      <c r="H41" s="65"/>
      <c r="I41" s="65"/>
      <c r="J41" s="42"/>
      <c r="K41" s="42"/>
      <c r="L41" s="42"/>
      <c r="M41" s="42"/>
      <c r="N41" s="42"/>
      <c r="O41" s="42"/>
      <c r="P41" s="42"/>
    </row>
    <row r="42" spans="1:16" ht="12.75" customHeight="1" x14ac:dyDescent="0.25">
      <c r="A42" s="64"/>
      <c r="B42" s="41"/>
      <c r="C42" s="41"/>
      <c r="D42" s="41"/>
      <c r="E42" s="42"/>
      <c r="F42" s="65"/>
      <c r="G42" s="65"/>
      <c r="H42" s="65"/>
      <c r="I42" s="65"/>
      <c r="J42" s="42"/>
      <c r="K42" s="42"/>
      <c r="L42" s="42"/>
      <c r="M42" s="42"/>
      <c r="N42" s="42"/>
      <c r="O42" s="42"/>
      <c r="P42" s="42"/>
    </row>
    <row r="43" spans="1:16" ht="12.75" customHeight="1" x14ac:dyDescent="0.25">
      <c r="A43" s="64"/>
      <c r="B43" s="41"/>
      <c r="C43" s="41"/>
      <c r="D43" s="41"/>
      <c r="E43" s="42"/>
      <c r="F43" s="65"/>
      <c r="G43" s="65"/>
      <c r="H43" s="65"/>
      <c r="I43" s="65"/>
      <c r="J43" s="42"/>
      <c r="K43" s="42"/>
      <c r="L43" s="42"/>
      <c r="M43" s="42"/>
      <c r="N43" s="42"/>
      <c r="O43" s="42"/>
      <c r="P43" s="42"/>
    </row>
    <row r="44" spans="1:16" ht="12.75" customHeight="1" x14ac:dyDescent="0.25">
      <c r="A44" s="41"/>
      <c r="B44" s="41"/>
      <c r="C44" s="41"/>
      <c r="D44" s="41"/>
      <c r="E44" s="42"/>
      <c r="F44" s="65"/>
      <c r="G44" s="65"/>
      <c r="H44" s="65"/>
      <c r="I44" s="65"/>
      <c r="J44" s="42"/>
      <c r="K44" s="42"/>
      <c r="L44" s="42"/>
      <c r="M44" s="42"/>
      <c r="N44" s="42"/>
      <c r="O44" s="42"/>
      <c r="P44" s="42"/>
    </row>
    <row r="45" spans="1:16" ht="12.75" customHeight="1" x14ac:dyDescent="0.25">
      <c r="A45" s="64"/>
      <c r="B45" s="41"/>
      <c r="C45" s="41"/>
      <c r="D45" s="41"/>
      <c r="E45" s="42"/>
      <c r="F45" s="65"/>
      <c r="G45" s="65"/>
      <c r="H45" s="65"/>
      <c r="I45" s="65"/>
      <c r="J45" s="42"/>
      <c r="K45" s="42"/>
      <c r="L45" s="42"/>
      <c r="M45" s="42"/>
      <c r="N45" s="42"/>
      <c r="O45" s="42"/>
      <c r="P45" s="42"/>
    </row>
    <row r="46" spans="1:16" ht="12.75" customHeight="1" x14ac:dyDescent="0.25">
      <c r="A46" s="64"/>
      <c r="B46" s="41"/>
      <c r="C46" s="41"/>
      <c r="D46" s="41"/>
      <c r="E46" s="42"/>
      <c r="F46" s="65"/>
      <c r="G46" s="65"/>
      <c r="H46" s="65"/>
      <c r="I46" s="65"/>
      <c r="J46" s="42"/>
      <c r="K46" s="42"/>
      <c r="L46" s="42"/>
      <c r="M46" s="42"/>
      <c r="N46" s="42"/>
      <c r="O46" s="42"/>
      <c r="P46" s="42"/>
    </row>
    <row r="47" spans="1:16" ht="12.75" customHeight="1" x14ac:dyDescent="0.25">
      <c r="A47" s="41"/>
      <c r="B47" s="41"/>
      <c r="C47" s="41"/>
      <c r="D47" s="41"/>
      <c r="E47" s="42"/>
      <c r="F47" s="65"/>
      <c r="G47" s="65"/>
      <c r="H47" s="65"/>
      <c r="I47" s="65"/>
      <c r="J47" s="42"/>
      <c r="K47" s="42"/>
      <c r="L47" s="42"/>
      <c r="M47" s="42"/>
      <c r="N47" s="42"/>
      <c r="O47" s="42"/>
      <c r="P47" s="42"/>
    </row>
    <row r="48" spans="1:16" ht="12.75" customHeight="1" x14ac:dyDescent="0.25">
      <c r="A48" s="41"/>
      <c r="B48" s="41"/>
      <c r="C48" s="41"/>
      <c r="D48" s="41"/>
      <c r="E48" s="42"/>
      <c r="F48" s="65"/>
      <c r="G48" s="65"/>
      <c r="H48" s="65"/>
      <c r="I48" s="65"/>
      <c r="J48" s="42"/>
      <c r="K48" s="42"/>
      <c r="L48" s="42"/>
      <c r="M48" s="42"/>
      <c r="N48" s="42"/>
      <c r="O48" s="42"/>
      <c r="P48" s="42"/>
    </row>
    <row r="49" spans="1:16" ht="12.75" customHeight="1" x14ac:dyDescent="0.25">
      <c r="A49" s="41"/>
      <c r="B49" s="41"/>
      <c r="C49" s="41"/>
      <c r="D49" s="41"/>
      <c r="E49" s="42"/>
      <c r="F49" s="65"/>
      <c r="G49" s="65"/>
      <c r="H49" s="65"/>
      <c r="I49" s="65"/>
      <c r="J49" s="42"/>
      <c r="K49" s="42"/>
      <c r="L49" s="42"/>
      <c r="M49" s="42"/>
      <c r="N49" s="42"/>
      <c r="O49" s="42"/>
      <c r="P49" s="42"/>
    </row>
    <row r="50" spans="1:16" ht="12.75" customHeight="1" x14ac:dyDescent="0.25">
      <c r="A50" s="41"/>
      <c r="B50" s="41"/>
      <c r="C50" s="41"/>
      <c r="D50" s="41"/>
      <c r="E50" s="42"/>
      <c r="F50" s="65"/>
      <c r="G50" s="65"/>
      <c r="H50" s="65"/>
      <c r="I50" s="65"/>
      <c r="J50" s="42"/>
      <c r="K50" s="42"/>
      <c r="L50" s="42"/>
      <c r="M50" s="42"/>
      <c r="N50" s="42"/>
      <c r="O50" s="42"/>
      <c r="P50" s="42"/>
    </row>
    <row r="51" spans="1:16" ht="12.75" customHeight="1" x14ac:dyDescent="0.25"/>
    <row r="52" spans="1:16" ht="12.75" customHeight="1" x14ac:dyDescent="0.25"/>
    <row r="53" spans="1:16" ht="12.75" customHeight="1" x14ac:dyDescent="0.25"/>
    <row r="54" spans="1:16" ht="12.75" customHeight="1" x14ac:dyDescent="0.25"/>
    <row r="55" spans="1:16" ht="12.75" customHeight="1" x14ac:dyDescent="0.25"/>
    <row r="56" spans="1:16" ht="12.75" customHeight="1" x14ac:dyDescent="0.25"/>
    <row r="57" spans="1:16" ht="12.75" customHeight="1" x14ac:dyDescent="0.25"/>
    <row r="58" spans="1:16" ht="12.75" customHeight="1" x14ac:dyDescent="0.25"/>
    <row r="59" spans="1:16" ht="12.75" customHeight="1" x14ac:dyDescent="0.25"/>
    <row r="60" spans="1:16" ht="12.75" customHeight="1" x14ac:dyDescent="0.25"/>
    <row r="61" spans="1:16" ht="12.75" customHeight="1" x14ac:dyDescent="0.25"/>
    <row r="62" spans="1:16" ht="12.75" customHeight="1" x14ac:dyDescent="0.25"/>
    <row r="63" spans="1:16" ht="12.75" customHeight="1" x14ac:dyDescent="0.25"/>
    <row r="64" spans="1:1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12.75" customHeight="1" x14ac:dyDescent="0.25"/>
    <row r="90" spans="1:16" ht="12.75" customHeight="1" x14ac:dyDescent="0.25">
      <c r="A90" s="15" t="s">
        <v>20</v>
      </c>
      <c r="B90" s="16"/>
      <c r="C90" s="16"/>
      <c r="D90" s="16"/>
      <c r="E90" s="16"/>
      <c r="F90" s="66"/>
      <c r="G90" s="66"/>
      <c r="H90" s="20"/>
      <c r="I90" s="67" t="s">
        <v>6</v>
      </c>
      <c r="J90" s="55"/>
      <c r="K90" s="55"/>
      <c r="L90" s="62">
        <f>MIN(K100:K139)</f>
        <v>0</v>
      </c>
      <c r="M90" s="55" t="s">
        <v>21</v>
      </c>
      <c r="N90" s="55"/>
      <c r="O90" s="55"/>
      <c r="P90" s="62">
        <f t="shared" ref="P90:P97" si="0">+P1</f>
        <v>60.06</v>
      </c>
    </row>
    <row r="91" spans="1:16" ht="12.75" customHeight="1" x14ac:dyDescent="0.25">
      <c r="A91" s="15"/>
      <c r="B91" s="16"/>
      <c r="C91" s="16"/>
      <c r="D91" s="16"/>
      <c r="E91" s="16"/>
      <c r="F91" s="66"/>
      <c r="G91" s="66"/>
      <c r="H91" s="20"/>
      <c r="I91" s="68" t="s">
        <v>7</v>
      </c>
      <c r="J91" s="16"/>
      <c r="K91" s="16"/>
      <c r="L91" s="69">
        <f>1.45*L90</f>
        <v>0</v>
      </c>
      <c r="M91" s="16" t="s">
        <v>22</v>
      </c>
      <c r="N91" s="16"/>
      <c r="O91" s="16"/>
      <c r="P91" s="69">
        <f t="shared" si="0"/>
        <v>13.453440000000002</v>
      </c>
    </row>
    <row r="92" spans="1:16" ht="12.75" customHeight="1" x14ac:dyDescent="0.25">
      <c r="A92" s="15"/>
      <c r="B92" s="16"/>
      <c r="C92" s="16"/>
      <c r="D92" s="16"/>
      <c r="E92" s="16"/>
      <c r="F92" s="70"/>
      <c r="G92" s="70"/>
      <c r="H92" s="20"/>
      <c r="I92" s="68" t="s">
        <v>23</v>
      </c>
      <c r="J92" s="16"/>
      <c r="K92" s="16"/>
      <c r="L92" s="57">
        <f t="shared" ref="L92:L96" si="1">+L3</f>
        <v>28</v>
      </c>
      <c r="M92" s="16" t="s">
        <v>24</v>
      </c>
      <c r="N92" s="16"/>
      <c r="O92" s="20"/>
      <c r="P92" s="28">
        <f t="shared" si="0"/>
        <v>0</v>
      </c>
    </row>
    <row r="93" spans="1:16" ht="12.75" customHeight="1" x14ac:dyDescent="0.25">
      <c r="A93" s="15"/>
      <c r="B93" s="16"/>
      <c r="C93" s="16"/>
      <c r="D93" s="16"/>
      <c r="E93" s="16"/>
      <c r="F93" s="70"/>
      <c r="G93" s="70"/>
      <c r="H93" s="20"/>
      <c r="I93" s="68" t="s">
        <v>25</v>
      </c>
      <c r="J93" s="16"/>
      <c r="K93" s="16"/>
      <c r="L93" s="69">
        <f>L91/L92</f>
        <v>0</v>
      </c>
      <c r="M93" s="16" t="s">
        <v>26</v>
      </c>
      <c r="N93" s="16"/>
      <c r="O93" s="20"/>
      <c r="P93" s="28">
        <f t="shared" si="0"/>
        <v>0.48048000000000007</v>
      </c>
    </row>
    <row r="94" spans="1:16" ht="12.75" customHeight="1" x14ac:dyDescent="0.25">
      <c r="A94" s="15"/>
      <c r="B94" s="16"/>
      <c r="C94" s="16"/>
      <c r="D94" s="16"/>
      <c r="E94" s="16"/>
      <c r="F94" s="16"/>
      <c r="G94" s="16"/>
      <c r="H94" s="16"/>
      <c r="I94" s="68" t="s">
        <v>27</v>
      </c>
      <c r="J94" s="16"/>
      <c r="K94" s="16"/>
      <c r="L94" s="69">
        <f t="shared" si="1"/>
        <v>0.8</v>
      </c>
      <c r="M94" s="16" t="s">
        <v>28</v>
      </c>
      <c r="N94" s="16"/>
      <c r="O94" s="20"/>
      <c r="P94" s="28">
        <f t="shared" si="0"/>
        <v>0</v>
      </c>
    </row>
    <row r="95" spans="1:16" ht="12.75" customHeight="1" x14ac:dyDescent="0.25">
      <c r="A95" s="15"/>
      <c r="B95" s="16"/>
      <c r="C95" s="16"/>
      <c r="D95" s="16"/>
      <c r="E95" s="16"/>
      <c r="F95" s="16"/>
      <c r="G95" s="16"/>
      <c r="H95" s="16"/>
      <c r="I95" s="68" t="s">
        <v>29</v>
      </c>
      <c r="J95" s="16"/>
      <c r="K95" s="16"/>
      <c r="L95" s="69">
        <f t="shared" si="1"/>
        <v>22.400000000000002</v>
      </c>
      <c r="M95" s="16" t="s">
        <v>30</v>
      </c>
      <c r="N95" s="20"/>
      <c r="O95" s="20"/>
      <c r="P95" s="28">
        <f t="shared" si="0"/>
        <v>0</v>
      </c>
    </row>
    <row r="96" spans="1:16" ht="12.75" customHeight="1" x14ac:dyDescent="0.25">
      <c r="A96" s="15"/>
      <c r="B96" s="16"/>
      <c r="C96" s="16"/>
      <c r="D96" s="16"/>
      <c r="E96" s="16"/>
      <c r="F96" s="20"/>
      <c r="G96" s="20"/>
      <c r="H96" s="16"/>
      <c r="I96" s="68" t="s">
        <v>31</v>
      </c>
      <c r="J96" s="20"/>
      <c r="K96" s="20"/>
      <c r="L96" s="71">
        <f t="shared" si="1"/>
        <v>14</v>
      </c>
      <c r="M96" s="16" t="s">
        <v>32</v>
      </c>
      <c r="N96" s="20"/>
      <c r="O96" s="20"/>
      <c r="P96" s="69" t="e">
        <f>100*(P94/L93)*P92/P93</f>
        <v>#DIV/0!</v>
      </c>
    </row>
    <row r="97" spans="1:16" ht="12.75" customHeight="1" x14ac:dyDescent="0.25">
      <c r="A97" s="15"/>
      <c r="B97" s="16"/>
      <c r="C97" s="16"/>
      <c r="D97" s="16"/>
      <c r="E97" s="66"/>
      <c r="F97" s="70"/>
      <c r="G97" s="70"/>
      <c r="H97" s="20"/>
      <c r="I97" s="72"/>
      <c r="J97" s="20"/>
      <c r="K97" s="20"/>
      <c r="L97" s="57"/>
      <c r="M97" s="16" t="s">
        <v>33</v>
      </c>
      <c r="N97" s="20"/>
      <c r="O97" s="20"/>
      <c r="P97" s="69">
        <f t="shared" si="0"/>
        <v>0</v>
      </c>
    </row>
    <row r="98" spans="1:16" ht="12.75" customHeight="1" x14ac:dyDescent="0.25">
      <c r="A98" s="15"/>
      <c r="B98" s="16"/>
      <c r="C98" s="16"/>
      <c r="D98" s="16"/>
      <c r="E98" s="66"/>
      <c r="F98" s="70"/>
      <c r="G98" s="70"/>
      <c r="H98" s="20"/>
      <c r="I98" s="50"/>
      <c r="J98" s="31"/>
      <c r="K98" s="31"/>
      <c r="L98" s="32"/>
      <c r="M98" s="58"/>
      <c r="N98" s="58"/>
      <c r="O98" s="58"/>
      <c r="P98" s="32"/>
    </row>
    <row r="99" spans="1:16" ht="12.75" customHeight="1" thickBot="1" x14ac:dyDescent="0.3">
      <c r="A99" s="38" t="s">
        <v>0</v>
      </c>
      <c r="B99" s="38" t="s">
        <v>1</v>
      </c>
      <c r="C99" s="38" t="s">
        <v>2</v>
      </c>
      <c r="D99" s="38" t="s">
        <v>3</v>
      </c>
      <c r="E99" s="38" t="s">
        <v>12</v>
      </c>
      <c r="F99" s="38" t="s">
        <v>34</v>
      </c>
      <c r="G99" s="38" t="s">
        <v>35</v>
      </c>
      <c r="H99" s="38" t="s">
        <v>36</v>
      </c>
      <c r="I99" s="38" t="s">
        <v>19</v>
      </c>
      <c r="J99" s="38" t="s">
        <v>37</v>
      </c>
      <c r="K99" s="38" t="s">
        <v>38</v>
      </c>
      <c r="L99" s="38" t="s">
        <v>39</v>
      </c>
      <c r="M99" s="73" t="s">
        <v>40</v>
      </c>
      <c r="N99" s="38" t="s">
        <v>41</v>
      </c>
      <c r="O99" s="38" t="s">
        <v>42</v>
      </c>
      <c r="P99" s="38" t="s">
        <v>43</v>
      </c>
    </row>
    <row r="100" spans="1:16" ht="12.75" customHeight="1" x14ac:dyDescent="0.25">
      <c r="A100" s="41">
        <f>RANK(P100,$P$100:$P$139,0)</f>
        <v>1</v>
      </c>
      <c r="B100" s="41" t="str">
        <f t="shared" ref="B100:D100" si="2">IF(B11&lt;&gt;0,B11,"")</f>
        <v/>
      </c>
      <c r="C100" s="41" t="str">
        <f t="shared" si="2"/>
        <v/>
      </c>
      <c r="D100" s="41" t="str">
        <f t="shared" si="2"/>
        <v/>
      </c>
      <c r="E100" s="42" t="str">
        <f t="shared" ref="E100:J115" si="3">IF(E11&lt;&gt;0,E11,"-")</f>
        <v>-</v>
      </c>
      <c r="F100" s="65" t="str">
        <f>IF(F11&lt;&gt;0,F11,"-")</f>
        <v>-</v>
      </c>
      <c r="G100" s="65" t="str">
        <f t="shared" ref="G100:J100" si="4">IF(G11&lt;&gt;0,G11,"-")</f>
        <v>-</v>
      </c>
      <c r="H100" s="65" t="str">
        <f t="shared" si="4"/>
        <v>-</v>
      </c>
      <c r="I100" s="65" t="str">
        <f t="shared" si="4"/>
        <v>-</v>
      </c>
      <c r="J100" s="42" t="str">
        <f t="shared" si="4"/>
        <v>-</v>
      </c>
      <c r="K100" s="42" t="str">
        <f>IF(K11&lt;&gt;0,K11,"DNF")</f>
        <v>DNF</v>
      </c>
      <c r="L100" s="42">
        <f>+L11</f>
        <v>0</v>
      </c>
      <c r="M100" s="42" t="str">
        <f t="shared" ref="M100:N115" si="5">IF(M11&lt;&gt;0,M11,"-")</f>
        <v>-</v>
      </c>
      <c r="N100" s="42" t="str">
        <f t="shared" si="5"/>
        <v>-</v>
      </c>
      <c r="O100" s="42">
        <f>+O11</f>
        <v>0</v>
      </c>
      <c r="P100" s="45">
        <f>+P11</f>
        <v>0</v>
      </c>
    </row>
    <row r="101" spans="1:16" ht="12.75" customHeight="1" x14ac:dyDescent="0.25">
      <c r="A101" s="64">
        <f t="shared" ref="A101:A139" si="6">RANK(P101,$P$100:$P$139,0)</f>
        <v>1</v>
      </c>
      <c r="B101" s="41" t="str">
        <f t="shared" ref="B101:D116" si="7">IF(B12&lt;&gt;0,B12,"")</f>
        <v/>
      </c>
      <c r="C101" s="41" t="str">
        <f t="shared" si="7"/>
        <v/>
      </c>
      <c r="D101" s="41" t="str">
        <f t="shared" si="7"/>
        <v/>
      </c>
      <c r="E101" s="42" t="str">
        <f t="shared" si="3"/>
        <v>-</v>
      </c>
      <c r="F101" s="65" t="str">
        <f t="shared" si="3"/>
        <v>-</v>
      </c>
      <c r="G101" s="65" t="str">
        <f t="shared" si="3"/>
        <v>-</v>
      </c>
      <c r="H101" s="65" t="str">
        <f t="shared" si="3"/>
        <v>-</v>
      </c>
      <c r="I101" s="65" t="str">
        <f t="shared" si="3"/>
        <v>-</v>
      </c>
      <c r="J101" s="42" t="str">
        <f t="shared" si="3"/>
        <v>-</v>
      </c>
      <c r="K101" s="42" t="str">
        <f t="shared" ref="K101:K139" si="8">IF(K12&lt;&gt;0,K12,"DNF")</f>
        <v>DNF</v>
      </c>
      <c r="L101" s="42">
        <f t="shared" ref="L101:L139" si="9">+L12</f>
        <v>0</v>
      </c>
      <c r="M101" s="42" t="str">
        <f t="shared" si="5"/>
        <v>-</v>
      </c>
      <c r="N101" s="42" t="str">
        <f t="shared" si="5"/>
        <v>-</v>
      </c>
      <c r="O101" s="42">
        <f t="shared" ref="O101:P116" si="10">+O12</f>
        <v>0</v>
      </c>
      <c r="P101" s="42">
        <f t="shared" si="10"/>
        <v>0</v>
      </c>
    </row>
    <row r="102" spans="1:16" ht="12.75" customHeight="1" x14ac:dyDescent="0.25">
      <c r="A102" s="64">
        <f t="shared" si="6"/>
        <v>1</v>
      </c>
      <c r="B102" s="41" t="str">
        <f t="shared" si="7"/>
        <v/>
      </c>
      <c r="C102" s="41" t="str">
        <f t="shared" si="7"/>
        <v/>
      </c>
      <c r="D102" s="41" t="str">
        <f t="shared" si="7"/>
        <v/>
      </c>
      <c r="E102" s="42" t="str">
        <f t="shared" si="3"/>
        <v>-</v>
      </c>
      <c r="F102" s="65" t="str">
        <f t="shared" si="3"/>
        <v>-</v>
      </c>
      <c r="G102" s="65" t="str">
        <f t="shared" si="3"/>
        <v>-</v>
      </c>
      <c r="H102" s="65" t="str">
        <f t="shared" si="3"/>
        <v>-</v>
      </c>
      <c r="I102" s="65" t="str">
        <f t="shared" si="3"/>
        <v>-</v>
      </c>
      <c r="J102" s="42" t="str">
        <f t="shared" si="3"/>
        <v>-</v>
      </c>
      <c r="K102" s="42" t="str">
        <f t="shared" si="8"/>
        <v>DNF</v>
      </c>
      <c r="L102" s="42">
        <f t="shared" si="9"/>
        <v>0</v>
      </c>
      <c r="M102" s="42" t="str">
        <f t="shared" si="5"/>
        <v>-</v>
      </c>
      <c r="N102" s="42" t="str">
        <f t="shared" si="5"/>
        <v>-</v>
      </c>
      <c r="O102" s="42">
        <f t="shared" si="10"/>
        <v>0</v>
      </c>
      <c r="P102" s="42">
        <f t="shared" si="10"/>
        <v>0</v>
      </c>
    </row>
    <row r="103" spans="1:16" ht="12.75" customHeight="1" x14ac:dyDescent="0.25">
      <c r="A103" s="41">
        <f t="shared" si="6"/>
        <v>1</v>
      </c>
      <c r="B103" s="41" t="str">
        <f t="shared" si="7"/>
        <v/>
      </c>
      <c r="C103" s="41" t="str">
        <f t="shared" si="7"/>
        <v/>
      </c>
      <c r="D103" s="41" t="str">
        <f t="shared" si="7"/>
        <v/>
      </c>
      <c r="E103" s="42" t="str">
        <f t="shared" si="3"/>
        <v>-</v>
      </c>
      <c r="F103" s="65" t="str">
        <f t="shared" si="3"/>
        <v>-</v>
      </c>
      <c r="G103" s="65" t="str">
        <f t="shared" si="3"/>
        <v>-</v>
      </c>
      <c r="H103" s="65" t="str">
        <f t="shared" si="3"/>
        <v>-</v>
      </c>
      <c r="I103" s="65" t="str">
        <f t="shared" si="3"/>
        <v>-</v>
      </c>
      <c r="J103" s="42" t="str">
        <f t="shared" si="3"/>
        <v>-</v>
      </c>
      <c r="K103" s="42" t="str">
        <f t="shared" si="8"/>
        <v>DNF</v>
      </c>
      <c r="L103" s="42">
        <f t="shared" si="9"/>
        <v>0</v>
      </c>
      <c r="M103" s="42" t="str">
        <f t="shared" si="5"/>
        <v>-</v>
      </c>
      <c r="N103" s="42" t="str">
        <f t="shared" si="5"/>
        <v>-</v>
      </c>
      <c r="O103" s="42">
        <f t="shared" si="10"/>
        <v>0</v>
      </c>
      <c r="P103" s="42">
        <f t="shared" si="10"/>
        <v>0</v>
      </c>
    </row>
    <row r="104" spans="1:16" ht="12.75" customHeight="1" x14ac:dyDescent="0.25">
      <c r="A104" s="64">
        <f t="shared" si="6"/>
        <v>1</v>
      </c>
      <c r="B104" s="41" t="str">
        <f t="shared" si="7"/>
        <v/>
      </c>
      <c r="C104" s="41" t="str">
        <f t="shared" si="7"/>
        <v/>
      </c>
      <c r="D104" s="41" t="str">
        <f t="shared" si="7"/>
        <v/>
      </c>
      <c r="E104" s="42" t="str">
        <f t="shared" si="3"/>
        <v>-</v>
      </c>
      <c r="F104" s="65" t="str">
        <f t="shared" si="3"/>
        <v>-</v>
      </c>
      <c r="G104" s="65" t="str">
        <f t="shared" si="3"/>
        <v>-</v>
      </c>
      <c r="H104" s="65" t="str">
        <f t="shared" si="3"/>
        <v>-</v>
      </c>
      <c r="I104" s="65" t="str">
        <f t="shared" si="3"/>
        <v>-</v>
      </c>
      <c r="J104" s="42" t="str">
        <f t="shared" si="3"/>
        <v>-</v>
      </c>
      <c r="K104" s="42" t="str">
        <f t="shared" si="8"/>
        <v>DNF</v>
      </c>
      <c r="L104" s="42">
        <f t="shared" si="9"/>
        <v>0</v>
      </c>
      <c r="M104" s="42" t="str">
        <f t="shared" si="5"/>
        <v>-</v>
      </c>
      <c r="N104" s="42" t="str">
        <f t="shared" si="5"/>
        <v>-</v>
      </c>
      <c r="O104" s="42">
        <f t="shared" si="10"/>
        <v>0</v>
      </c>
      <c r="P104" s="42">
        <f t="shared" si="10"/>
        <v>0</v>
      </c>
    </row>
    <row r="105" spans="1:16" ht="12.75" customHeight="1" x14ac:dyDescent="0.25">
      <c r="A105" s="64">
        <f t="shared" si="6"/>
        <v>1</v>
      </c>
      <c r="B105" s="41" t="str">
        <f t="shared" si="7"/>
        <v/>
      </c>
      <c r="C105" s="41" t="str">
        <f t="shared" si="7"/>
        <v/>
      </c>
      <c r="D105" s="41" t="str">
        <f t="shared" si="7"/>
        <v/>
      </c>
      <c r="E105" s="42" t="str">
        <f t="shared" si="3"/>
        <v>-</v>
      </c>
      <c r="F105" s="65" t="str">
        <f t="shared" si="3"/>
        <v>-</v>
      </c>
      <c r="G105" s="65" t="str">
        <f t="shared" si="3"/>
        <v>-</v>
      </c>
      <c r="H105" s="65" t="str">
        <f t="shared" si="3"/>
        <v>-</v>
      </c>
      <c r="I105" s="65" t="str">
        <f t="shared" si="3"/>
        <v>-</v>
      </c>
      <c r="J105" s="42" t="str">
        <f t="shared" si="3"/>
        <v>-</v>
      </c>
      <c r="K105" s="42" t="str">
        <f t="shared" si="8"/>
        <v>DNF</v>
      </c>
      <c r="L105" s="42">
        <f t="shared" si="9"/>
        <v>0</v>
      </c>
      <c r="M105" s="42" t="str">
        <f t="shared" si="5"/>
        <v>-</v>
      </c>
      <c r="N105" s="42" t="str">
        <f t="shared" si="5"/>
        <v>-</v>
      </c>
      <c r="O105" s="42">
        <f t="shared" si="10"/>
        <v>0</v>
      </c>
      <c r="P105" s="42">
        <f t="shared" si="10"/>
        <v>0</v>
      </c>
    </row>
    <row r="106" spans="1:16" ht="12.75" customHeight="1" x14ac:dyDescent="0.25">
      <c r="A106" s="41">
        <f t="shared" si="6"/>
        <v>1</v>
      </c>
      <c r="B106" s="41" t="str">
        <f t="shared" si="7"/>
        <v/>
      </c>
      <c r="C106" s="41" t="str">
        <f t="shared" si="7"/>
        <v/>
      </c>
      <c r="D106" s="41" t="str">
        <f t="shared" si="7"/>
        <v/>
      </c>
      <c r="E106" s="42" t="str">
        <f t="shared" si="3"/>
        <v>-</v>
      </c>
      <c r="F106" s="65" t="str">
        <f t="shared" si="3"/>
        <v>-</v>
      </c>
      <c r="G106" s="65" t="str">
        <f t="shared" si="3"/>
        <v>-</v>
      </c>
      <c r="H106" s="65" t="str">
        <f t="shared" si="3"/>
        <v>-</v>
      </c>
      <c r="I106" s="65" t="str">
        <f t="shared" si="3"/>
        <v>-</v>
      </c>
      <c r="J106" s="42" t="str">
        <f t="shared" si="3"/>
        <v>-</v>
      </c>
      <c r="K106" s="42" t="str">
        <f t="shared" si="8"/>
        <v>DNF</v>
      </c>
      <c r="L106" s="42">
        <f t="shared" si="9"/>
        <v>0</v>
      </c>
      <c r="M106" s="42" t="str">
        <f t="shared" si="5"/>
        <v>-</v>
      </c>
      <c r="N106" s="42" t="str">
        <f t="shared" si="5"/>
        <v>-</v>
      </c>
      <c r="O106" s="42">
        <f t="shared" si="10"/>
        <v>0</v>
      </c>
      <c r="P106" s="42">
        <f t="shared" si="10"/>
        <v>0</v>
      </c>
    </row>
    <row r="107" spans="1:16" ht="12.75" customHeight="1" x14ac:dyDescent="0.25">
      <c r="A107" s="64">
        <f t="shared" si="6"/>
        <v>1</v>
      </c>
      <c r="B107" s="41" t="str">
        <f t="shared" si="7"/>
        <v/>
      </c>
      <c r="C107" s="41" t="str">
        <f t="shared" si="7"/>
        <v/>
      </c>
      <c r="D107" s="41" t="str">
        <f t="shared" si="7"/>
        <v/>
      </c>
      <c r="E107" s="42" t="str">
        <f t="shared" si="3"/>
        <v>-</v>
      </c>
      <c r="F107" s="65" t="str">
        <f t="shared" si="3"/>
        <v>-</v>
      </c>
      <c r="G107" s="65" t="str">
        <f t="shared" si="3"/>
        <v>-</v>
      </c>
      <c r="H107" s="65" t="str">
        <f t="shared" si="3"/>
        <v>-</v>
      </c>
      <c r="I107" s="65" t="str">
        <f t="shared" si="3"/>
        <v>-</v>
      </c>
      <c r="J107" s="42" t="str">
        <f t="shared" si="3"/>
        <v>-</v>
      </c>
      <c r="K107" s="42" t="str">
        <f t="shared" si="8"/>
        <v>DNF</v>
      </c>
      <c r="L107" s="42">
        <f t="shared" si="9"/>
        <v>0</v>
      </c>
      <c r="M107" s="42" t="str">
        <f t="shared" si="5"/>
        <v>-</v>
      </c>
      <c r="N107" s="42" t="str">
        <f t="shared" si="5"/>
        <v>-</v>
      </c>
      <c r="O107" s="42">
        <f t="shared" si="10"/>
        <v>0</v>
      </c>
      <c r="P107" s="42">
        <f t="shared" si="10"/>
        <v>0</v>
      </c>
    </row>
    <row r="108" spans="1:16" ht="12.75" customHeight="1" x14ac:dyDescent="0.25">
      <c r="A108" s="64">
        <f t="shared" si="6"/>
        <v>1</v>
      </c>
      <c r="B108" s="41" t="str">
        <f t="shared" si="7"/>
        <v/>
      </c>
      <c r="C108" s="41" t="str">
        <f t="shared" si="7"/>
        <v/>
      </c>
      <c r="D108" s="41" t="str">
        <f t="shared" si="7"/>
        <v/>
      </c>
      <c r="E108" s="42" t="str">
        <f t="shared" si="3"/>
        <v>-</v>
      </c>
      <c r="F108" s="65" t="str">
        <f t="shared" si="3"/>
        <v>-</v>
      </c>
      <c r="G108" s="65" t="str">
        <f t="shared" si="3"/>
        <v>-</v>
      </c>
      <c r="H108" s="65" t="str">
        <f t="shared" si="3"/>
        <v>-</v>
      </c>
      <c r="I108" s="65" t="str">
        <f t="shared" si="3"/>
        <v>-</v>
      </c>
      <c r="J108" s="42" t="str">
        <f t="shared" si="3"/>
        <v>-</v>
      </c>
      <c r="K108" s="42" t="str">
        <f t="shared" si="8"/>
        <v>DNF</v>
      </c>
      <c r="L108" s="42">
        <f t="shared" si="9"/>
        <v>0</v>
      </c>
      <c r="M108" s="42" t="str">
        <f t="shared" si="5"/>
        <v>-</v>
      </c>
      <c r="N108" s="42" t="str">
        <f t="shared" si="5"/>
        <v>-</v>
      </c>
      <c r="O108" s="42">
        <f t="shared" si="10"/>
        <v>0</v>
      </c>
      <c r="P108" s="42">
        <f t="shared" si="10"/>
        <v>0</v>
      </c>
    </row>
    <row r="109" spans="1:16" ht="12.75" customHeight="1" x14ac:dyDescent="0.25">
      <c r="A109" s="41">
        <f t="shared" si="6"/>
        <v>1</v>
      </c>
      <c r="B109" s="41" t="str">
        <f t="shared" si="7"/>
        <v/>
      </c>
      <c r="C109" s="41" t="str">
        <f t="shared" si="7"/>
        <v/>
      </c>
      <c r="D109" s="41" t="str">
        <f t="shared" si="7"/>
        <v/>
      </c>
      <c r="E109" s="42" t="str">
        <f t="shared" si="3"/>
        <v>-</v>
      </c>
      <c r="F109" s="65" t="str">
        <f t="shared" si="3"/>
        <v>-</v>
      </c>
      <c r="G109" s="65" t="str">
        <f t="shared" si="3"/>
        <v>-</v>
      </c>
      <c r="H109" s="65" t="str">
        <f t="shared" si="3"/>
        <v>-</v>
      </c>
      <c r="I109" s="65" t="str">
        <f t="shared" si="3"/>
        <v>-</v>
      </c>
      <c r="J109" s="42" t="str">
        <f t="shared" si="3"/>
        <v>-</v>
      </c>
      <c r="K109" s="42" t="str">
        <f t="shared" si="8"/>
        <v>DNF</v>
      </c>
      <c r="L109" s="42">
        <f t="shared" si="9"/>
        <v>0</v>
      </c>
      <c r="M109" s="42" t="str">
        <f t="shared" si="5"/>
        <v>-</v>
      </c>
      <c r="N109" s="42" t="str">
        <f t="shared" si="5"/>
        <v>-</v>
      </c>
      <c r="O109" s="42">
        <f t="shared" si="10"/>
        <v>0</v>
      </c>
      <c r="P109" s="42">
        <f t="shared" si="10"/>
        <v>0</v>
      </c>
    </row>
    <row r="110" spans="1:16" ht="12.75" customHeight="1" x14ac:dyDescent="0.25">
      <c r="A110" s="64">
        <f t="shared" si="6"/>
        <v>1</v>
      </c>
      <c r="B110" s="41" t="str">
        <f t="shared" si="7"/>
        <v/>
      </c>
      <c r="C110" s="41" t="str">
        <f t="shared" si="7"/>
        <v/>
      </c>
      <c r="D110" s="41" t="str">
        <f t="shared" si="7"/>
        <v/>
      </c>
      <c r="E110" s="42" t="str">
        <f t="shared" si="3"/>
        <v>-</v>
      </c>
      <c r="F110" s="65" t="str">
        <f t="shared" si="3"/>
        <v>-</v>
      </c>
      <c r="G110" s="65" t="str">
        <f t="shared" si="3"/>
        <v>-</v>
      </c>
      <c r="H110" s="65" t="str">
        <f t="shared" si="3"/>
        <v>-</v>
      </c>
      <c r="I110" s="65" t="str">
        <f t="shared" si="3"/>
        <v>-</v>
      </c>
      <c r="J110" s="42" t="str">
        <f t="shared" si="3"/>
        <v>-</v>
      </c>
      <c r="K110" s="42" t="str">
        <f t="shared" si="8"/>
        <v>DNF</v>
      </c>
      <c r="L110" s="42">
        <f t="shared" si="9"/>
        <v>0</v>
      </c>
      <c r="M110" s="42" t="str">
        <f t="shared" si="5"/>
        <v>-</v>
      </c>
      <c r="N110" s="42" t="str">
        <f t="shared" si="5"/>
        <v>-</v>
      </c>
      <c r="O110" s="42">
        <f t="shared" si="10"/>
        <v>0</v>
      </c>
      <c r="P110" s="42">
        <f t="shared" si="10"/>
        <v>0</v>
      </c>
    </row>
    <row r="111" spans="1:16" ht="12.75" customHeight="1" x14ac:dyDescent="0.25">
      <c r="A111" s="64">
        <f t="shared" si="6"/>
        <v>1</v>
      </c>
      <c r="B111" s="41" t="str">
        <f t="shared" si="7"/>
        <v/>
      </c>
      <c r="C111" s="41" t="str">
        <f t="shared" si="7"/>
        <v/>
      </c>
      <c r="D111" s="41" t="str">
        <f t="shared" si="7"/>
        <v/>
      </c>
      <c r="E111" s="42" t="str">
        <f t="shared" si="3"/>
        <v>-</v>
      </c>
      <c r="F111" s="65" t="str">
        <f t="shared" si="3"/>
        <v>-</v>
      </c>
      <c r="G111" s="65" t="str">
        <f t="shared" si="3"/>
        <v>-</v>
      </c>
      <c r="H111" s="65" t="str">
        <f t="shared" si="3"/>
        <v>-</v>
      </c>
      <c r="I111" s="65" t="str">
        <f t="shared" si="3"/>
        <v>-</v>
      </c>
      <c r="J111" s="42" t="str">
        <f t="shared" si="3"/>
        <v>-</v>
      </c>
      <c r="K111" s="42" t="str">
        <f t="shared" si="8"/>
        <v>DNF</v>
      </c>
      <c r="L111" s="42">
        <f t="shared" si="9"/>
        <v>0</v>
      </c>
      <c r="M111" s="42" t="str">
        <f t="shared" si="5"/>
        <v>-</v>
      </c>
      <c r="N111" s="42" t="str">
        <f t="shared" si="5"/>
        <v>-</v>
      </c>
      <c r="O111" s="42">
        <f t="shared" si="10"/>
        <v>0</v>
      </c>
      <c r="P111" s="42">
        <f t="shared" si="10"/>
        <v>0</v>
      </c>
    </row>
    <row r="112" spans="1:16" ht="12.75" customHeight="1" x14ac:dyDescent="0.25">
      <c r="A112" s="41">
        <f t="shared" si="6"/>
        <v>1</v>
      </c>
      <c r="B112" s="41" t="str">
        <f t="shared" si="7"/>
        <v/>
      </c>
      <c r="C112" s="41" t="str">
        <f t="shared" si="7"/>
        <v/>
      </c>
      <c r="D112" s="41" t="str">
        <f t="shared" si="7"/>
        <v/>
      </c>
      <c r="E112" s="42" t="str">
        <f t="shared" si="3"/>
        <v>-</v>
      </c>
      <c r="F112" s="65" t="str">
        <f t="shared" si="3"/>
        <v>-</v>
      </c>
      <c r="G112" s="65" t="str">
        <f t="shared" si="3"/>
        <v>-</v>
      </c>
      <c r="H112" s="65" t="str">
        <f t="shared" si="3"/>
        <v>-</v>
      </c>
      <c r="I112" s="65" t="str">
        <f t="shared" si="3"/>
        <v>-</v>
      </c>
      <c r="J112" s="42" t="str">
        <f t="shared" si="3"/>
        <v>-</v>
      </c>
      <c r="K112" s="42" t="str">
        <f t="shared" si="8"/>
        <v>DNF</v>
      </c>
      <c r="L112" s="42">
        <f t="shared" si="9"/>
        <v>0</v>
      </c>
      <c r="M112" s="42" t="str">
        <f t="shared" si="5"/>
        <v>-</v>
      </c>
      <c r="N112" s="42" t="str">
        <f t="shared" si="5"/>
        <v>-</v>
      </c>
      <c r="O112" s="42">
        <f t="shared" si="10"/>
        <v>0</v>
      </c>
      <c r="P112" s="42">
        <f t="shared" si="10"/>
        <v>0</v>
      </c>
    </row>
    <row r="113" spans="1:16" ht="12.75" customHeight="1" x14ac:dyDescent="0.25">
      <c r="A113" s="64">
        <f t="shared" si="6"/>
        <v>1</v>
      </c>
      <c r="B113" s="41" t="str">
        <f t="shared" si="7"/>
        <v/>
      </c>
      <c r="C113" s="41" t="str">
        <f t="shared" si="7"/>
        <v/>
      </c>
      <c r="D113" s="41" t="str">
        <f t="shared" si="7"/>
        <v/>
      </c>
      <c r="E113" s="42" t="str">
        <f t="shared" si="3"/>
        <v>-</v>
      </c>
      <c r="F113" s="65" t="str">
        <f t="shared" si="3"/>
        <v>-</v>
      </c>
      <c r="G113" s="65" t="str">
        <f t="shared" si="3"/>
        <v>-</v>
      </c>
      <c r="H113" s="65" t="str">
        <f t="shared" si="3"/>
        <v>-</v>
      </c>
      <c r="I113" s="65" t="str">
        <f t="shared" si="3"/>
        <v>-</v>
      </c>
      <c r="J113" s="42" t="str">
        <f t="shared" si="3"/>
        <v>-</v>
      </c>
      <c r="K113" s="42" t="str">
        <f t="shared" si="8"/>
        <v>DNF</v>
      </c>
      <c r="L113" s="42">
        <f t="shared" si="9"/>
        <v>0</v>
      </c>
      <c r="M113" s="42" t="str">
        <f t="shared" si="5"/>
        <v>-</v>
      </c>
      <c r="N113" s="42" t="str">
        <f t="shared" si="5"/>
        <v>-</v>
      </c>
      <c r="O113" s="42">
        <f t="shared" si="10"/>
        <v>0</v>
      </c>
      <c r="P113" s="42">
        <f t="shared" si="10"/>
        <v>0</v>
      </c>
    </row>
    <row r="114" spans="1:16" ht="12.75" customHeight="1" x14ac:dyDescent="0.25">
      <c r="A114" s="64">
        <f t="shared" si="6"/>
        <v>1</v>
      </c>
      <c r="B114" s="41" t="str">
        <f t="shared" si="7"/>
        <v/>
      </c>
      <c r="C114" s="41" t="str">
        <f t="shared" si="7"/>
        <v/>
      </c>
      <c r="D114" s="41" t="str">
        <f t="shared" si="7"/>
        <v/>
      </c>
      <c r="E114" s="42" t="str">
        <f t="shared" si="3"/>
        <v>-</v>
      </c>
      <c r="F114" s="65" t="str">
        <f t="shared" si="3"/>
        <v>-</v>
      </c>
      <c r="G114" s="65" t="str">
        <f t="shared" si="3"/>
        <v>-</v>
      </c>
      <c r="H114" s="65" t="str">
        <f t="shared" si="3"/>
        <v>-</v>
      </c>
      <c r="I114" s="65" t="str">
        <f t="shared" si="3"/>
        <v>-</v>
      </c>
      <c r="J114" s="42" t="str">
        <f t="shared" si="3"/>
        <v>-</v>
      </c>
      <c r="K114" s="42" t="str">
        <f t="shared" si="8"/>
        <v>DNF</v>
      </c>
      <c r="L114" s="42">
        <f t="shared" si="9"/>
        <v>0</v>
      </c>
      <c r="M114" s="42" t="str">
        <f t="shared" si="5"/>
        <v>-</v>
      </c>
      <c r="N114" s="42" t="str">
        <f t="shared" si="5"/>
        <v>-</v>
      </c>
      <c r="O114" s="42">
        <f t="shared" si="10"/>
        <v>0</v>
      </c>
      <c r="P114" s="42">
        <f t="shared" si="10"/>
        <v>0</v>
      </c>
    </row>
    <row r="115" spans="1:16" ht="12.75" customHeight="1" x14ac:dyDescent="0.25">
      <c r="A115" s="41">
        <f t="shared" si="6"/>
        <v>1</v>
      </c>
      <c r="B115" s="41" t="str">
        <f t="shared" si="7"/>
        <v/>
      </c>
      <c r="C115" s="41" t="str">
        <f t="shared" si="7"/>
        <v/>
      </c>
      <c r="D115" s="41" t="str">
        <f t="shared" si="7"/>
        <v/>
      </c>
      <c r="E115" s="42" t="str">
        <f t="shared" si="3"/>
        <v>-</v>
      </c>
      <c r="F115" s="65" t="str">
        <f t="shared" si="3"/>
        <v>-</v>
      </c>
      <c r="G115" s="65" t="str">
        <f t="shared" si="3"/>
        <v>-</v>
      </c>
      <c r="H115" s="65" t="str">
        <f t="shared" si="3"/>
        <v>-</v>
      </c>
      <c r="I115" s="65" t="str">
        <f t="shared" si="3"/>
        <v>-</v>
      </c>
      <c r="J115" s="42" t="str">
        <f t="shared" si="3"/>
        <v>-</v>
      </c>
      <c r="K115" s="42" t="str">
        <f t="shared" si="8"/>
        <v>DNF</v>
      </c>
      <c r="L115" s="42">
        <f t="shared" si="9"/>
        <v>0</v>
      </c>
      <c r="M115" s="42" t="str">
        <f t="shared" si="5"/>
        <v>-</v>
      </c>
      <c r="N115" s="42" t="str">
        <f t="shared" si="5"/>
        <v>-</v>
      </c>
      <c r="O115" s="42">
        <f t="shared" si="10"/>
        <v>0</v>
      </c>
      <c r="P115" s="42">
        <f t="shared" si="10"/>
        <v>0</v>
      </c>
    </row>
    <row r="116" spans="1:16" ht="12.75" customHeight="1" x14ac:dyDescent="0.25">
      <c r="A116" s="64">
        <f t="shared" si="6"/>
        <v>1</v>
      </c>
      <c r="B116" s="41" t="str">
        <f t="shared" si="7"/>
        <v/>
      </c>
      <c r="C116" s="41" t="str">
        <f t="shared" si="7"/>
        <v/>
      </c>
      <c r="D116" s="41" t="str">
        <f t="shared" si="7"/>
        <v/>
      </c>
      <c r="E116" s="42" t="str">
        <f t="shared" ref="E116:J131" si="11">IF(E27&lt;&gt;0,E27,"-")</f>
        <v>-</v>
      </c>
      <c r="F116" s="65" t="str">
        <f t="shared" si="11"/>
        <v>-</v>
      </c>
      <c r="G116" s="65" t="str">
        <f t="shared" si="11"/>
        <v>-</v>
      </c>
      <c r="H116" s="65" t="str">
        <f t="shared" si="11"/>
        <v>-</v>
      </c>
      <c r="I116" s="65" t="str">
        <f t="shared" si="11"/>
        <v>-</v>
      </c>
      <c r="J116" s="42" t="str">
        <f t="shared" si="11"/>
        <v>-</v>
      </c>
      <c r="K116" s="42" t="str">
        <f t="shared" si="8"/>
        <v>DNF</v>
      </c>
      <c r="L116" s="42">
        <f t="shared" si="9"/>
        <v>0</v>
      </c>
      <c r="M116" s="42" t="str">
        <f t="shared" ref="M116:N131" si="12">IF(M27&lt;&gt;0,M27,"-")</f>
        <v>-</v>
      </c>
      <c r="N116" s="42" t="str">
        <f t="shared" si="12"/>
        <v>-</v>
      </c>
      <c r="O116" s="42">
        <f t="shared" si="10"/>
        <v>0</v>
      </c>
      <c r="P116" s="42">
        <f t="shared" si="10"/>
        <v>0</v>
      </c>
    </row>
    <row r="117" spans="1:16" ht="12.75" customHeight="1" x14ac:dyDescent="0.25">
      <c r="A117" s="64">
        <f t="shared" si="6"/>
        <v>1</v>
      </c>
      <c r="B117" s="41" t="str">
        <f t="shared" ref="B117:D132" si="13">IF(B28&lt;&gt;0,B28,"")</f>
        <v/>
      </c>
      <c r="C117" s="41" t="str">
        <f t="shared" si="13"/>
        <v/>
      </c>
      <c r="D117" s="41" t="str">
        <f t="shared" si="13"/>
        <v/>
      </c>
      <c r="E117" s="42" t="str">
        <f t="shared" si="11"/>
        <v>-</v>
      </c>
      <c r="F117" s="65" t="str">
        <f t="shared" si="11"/>
        <v>-</v>
      </c>
      <c r="G117" s="65" t="str">
        <f t="shared" si="11"/>
        <v>-</v>
      </c>
      <c r="H117" s="65" t="str">
        <f t="shared" si="11"/>
        <v>-</v>
      </c>
      <c r="I117" s="65" t="str">
        <f t="shared" si="11"/>
        <v>-</v>
      </c>
      <c r="J117" s="42" t="str">
        <f t="shared" si="11"/>
        <v>-</v>
      </c>
      <c r="K117" s="42" t="str">
        <f t="shared" si="8"/>
        <v>DNF</v>
      </c>
      <c r="L117" s="42">
        <f t="shared" si="9"/>
        <v>0</v>
      </c>
      <c r="M117" s="42" t="str">
        <f t="shared" si="12"/>
        <v>-</v>
      </c>
      <c r="N117" s="42" t="str">
        <f t="shared" si="12"/>
        <v>-</v>
      </c>
      <c r="O117" s="42">
        <f t="shared" ref="O117:P132" si="14">+O28</f>
        <v>0</v>
      </c>
      <c r="P117" s="42">
        <f t="shared" si="14"/>
        <v>0</v>
      </c>
    </row>
    <row r="118" spans="1:16" ht="12.75" customHeight="1" x14ac:dyDescent="0.25">
      <c r="A118" s="41">
        <f t="shared" si="6"/>
        <v>1</v>
      </c>
      <c r="B118" s="41" t="str">
        <f t="shared" si="13"/>
        <v/>
      </c>
      <c r="C118" s="41" t="str">
        <f t="shared" si="13"/>
        <v/>
      </c>
      <c r="D118" s="41" t="str">
        <f t="shared" si="13"/>
        <v/>
      </c>
      <c r="E118" s="42" t="str">
        <f t="shared" si="11"/>
        <v>-</v>
      </c>
      <c r="F118" s="65" t="str">
        <f t="shared" si="11"/>
        <v>-</v>
      </c>
      <c r="G118" s="65" t="str">
        <f t="shared" si="11"/>
        <v>-</v>
      </c>
      <c r="H118" s="65" t="str">
        <f t="shared" si="11"/>
        <v>-</v>
      </c>
      <c r="I118" s="65" t="str">
        <f t="shared" si="11"/>
        <v>-</v>
      </c>
      <c r="J118" s="42" t="str">
        <f t="shared" si="11"/>
        <v>-</v>
      </c>
      <c r="K118" s="42" t="str">
        <f t="shared" si="8"/>
        <v>DNF</v>
      </c>
      <c r="L118" s="42">
        <f t="shared" si="9"/>
        <v>0</v>
      </c>
      <c r="M118" s="42" t="str">
        <f t="shared" si="12"/>
        <v>-</v>
      </c>
      <c r="N118" s="42" t="str">
        <f t="shared" si="12"/>
        <v>-</v>
      </c>
      <c r="O118" s="42">
        <f t="shared" si="14"/>
        <v>0</v>
      </c>
      <c r="P118" s="42">
        <f t="shared" si="14"/>
        <v>0</v>
      </c>
    </row>
    <row r="119" spans="1:16" ht="12.75" customHeight="1" x14ac:dyDescent="0.25">
      <c r="A119" s="64">
        <f t="shared" si="6"/>
        <v>1</v>
      </c>
      <c r="B119" s="41" t="str">
        <f t="shared" si="13"/>
        <v/>
      </c>
      <c r="C119" s="41" t="str">
        <f t="shared" si="13"/>
        <v/>
      </c>
      <c r="D119" s="41" t="str">
        <f t="shared" si="13"/>
        <v/>
      </c>
      <c r="E119" s="42" t="str">
        <f t="shared" si="11"/>
        <v>-</v>
      </c>
      <c r="F119" s="65" t="str">
        <f t="shared" si="11"/>
        <v>-</v>
      </c>
      <c r="G119" s="65" t="str">
        <f t="shared" si="11"/>
        <v>-</v>
      </c>
      <c r="H119" s="65" t="str">
        <f t="shared" si="11"/>
        <v>-</v>
      </c>
      <c r="I119" s="65" t="str">
        <f t="shared" si="11"/>
        <v>-</v>
      </c>
      <c r="J119" s="42" t="str">
        <f t="shared" si="11"/>
        <v>-</v>
      </c>
      <c r="K119" s="42" t="str">
        <f t="shared" si="8"/>
        <v>DNF</v>
      </c>
      <c r="L119" s="42">
        <f t="shared" si="9"/>
        <v>0</v>
      </c>
      <c r="M119" s="42" t="str">
        <f t="shared" si="12"/>
        <v>-</v>
      </c>
      <c r="N119" s="42" t="str">
        <f t="shared" si="12"/>
        <v>-</v>
      </c>
      <c r="O119" s="42">
        <f t="shared" si="14"/>
        <v>0</v>
      </c>
      <c r="P119" s="42">
        <f t="shared" si="14"/>
        <v>0</v>
      </c>
    </row>
    <row r="120" spans="1:16" ht="12.75" customHeight="1" x14ac:dyDescent="0.25">
      <c r="A120" s="64">
        <f t="shared" si="6"/>
        <v>1</v>
      </c>
      <c r="B120" s="41" t="str">
        <f t="shared" si="13"/>
        <v/>
      </c>
      <c r="C120" s="41" t="str">
        <f t="shared" si="13"/>
        <v/>
      </c>
      <c r="D120" s="41" t="str">
        <f t="shared" si="13"/>
        <v/>
      </c>
      <c r="E120" s="42" t="str">
        <f t="shared" si="11"/>
        <v>-</v>
      </c>
      <c r="F120" s="65" t="str">
        <f t="shared" si="11"/>
        <v>-</v>
      </c>
      <c r="G120" s="65" t="str">
        <f t="shared" si="11"/>
        <v>-</v>
      </c>
      <c r="H120" s="65" t="str">
        <f t="shared" si="11"/>
        <v>-</v>
      </c>
      <c r="I120" s="65" t="str">
        <f t="shared" si="11"/>
        <v>-</v>
      </c>
      <c r="J120" s="42" t="str">
        <f t="shared" si="11"/>
        <v>-</v>
      </c>
      <c r="K120" s="42" t="str">
        <f t="shared" si="8"/>
        <v>DNF</v>
      </c>
      <c r="L120" s="42">
        <f t="shared" si="9"/>
        <v>0</v>
      </c>
      <c r="M120" s="42" t="str">
        <f t="shared" si="12"/>
        <v>-</v>
      </c>
      <c r="N120" s="42" t="str">
        <f t="shared" si="12"/>
        <v>-</v>
      </c>
      <c r="O120" s="42">
        <f t="shared" si="14"/>
        <v>0</v>
      </c>
      <c r="P120" s="42">
        <f t="shared" si="14"/>
        <v>0</v>
      </c>
    </row>
    <row r="121" spans="1:16" ht="12.75" customHeight="1" x14ac:dyDescent="0.25">
      <c r="A121" s="41">
        <f t="shared" si="6"/>
        <v>1</v>
      </c>
      <c r="B121" s="41" t="str">
        <f t="shared" si="13"/>
        <v/>
      </c>
      <c r="C121" s="41" t="str">
        <f t="shared" si="13"/>
        <v/>
      </c>
      <c r="D121" s="41" t="str">
        <f t="shared" si="13"/>
        <v/>
      </c>
      <c r="E121" s="42" t="str">
        <f t="shared" si="11"/>
        <v>-</v>
      </c>
      <c r="F121" s="65" t="str">
        <f t="shared" si="11"/>
        <v>-</v>
      </c>
      <c r="G121" s="65" t="str">
        <f t="shared" si="11"/>
        <v>-</v>
      </c>
      <c r="H121" s="65" t="str">
        <f t="shared" si="11"/>
        <v>-</v>
      </c>
      <c r="I121" s="65" t="str">
        <f t="shared" si="11"/>
        <v>-</v>
      </c>
      <c r="J121" s="42" t="str">
        <f t="shared" si="11"/>
        <v>-</v>
      </c>
      <c r="K121" s="42" t="str">
        <f t="shared" si="8"/>
        <v>DNF</v>
      </c>
      <c r="L121" s="42">
        <f t="shared" si="9"/>
        <v>0</v>
      </c>
      <c r="M121" s="42" t="str">
        <f t="shared" si="12"/>
        <v>-</v>
      </c>
      <c r="N121" s="42" t="str">
        <f t="shared" si="12"/>
        <v>-</v>
      </c>
      <c r="O121" s="42">
        <f t="shared" si="14"/>
        <v>0</v>
      </c>
      <c r="P121" s="42">
        <f t="shared" si="14"/>
        <v>0</v>
      </c>
    </row>
    <row r="122" spans="1:16" ht="12.75" customHeight="1" x14ac:dyDescent="0.25">
      <c r="A122" s="64">
        <f t="shared" si="6"/>
        <v>1</v>
      </c>
      <c r="B122" s="41" t="str">
        <f t="shared" si="13"/>
        <v/>
      </c>
      <c r="C122" s="41" t="str">
        <f t="shared" si="13"/>
        <v/>
      </c>
      <c r="D122" s="41" t="str">
        <f t="shared" si="13"/>
        <v/>
      </c>
      <c r="E122" s="42" t="str">
        <f t="shared" si="11"/>
        <v>-</v>
      </c>
      <c r="F122" s="65" t="str">
        <f t="shared" si="11"/>
        <v>-</v>
      </c>
      <c r="G122" s="65" t="str">
        <f t="shared" si="11"/>
        <v>-</v>
      </c>
      <c r="H122" s="65" t="str">
        <f t="shared" si="11"/>
        <v>-</v>
      </c>
      <c r="I122" s="65" t="str">
        <f t="shared" si="11"/>
        <v>-</v>
      </c>
      <c r="J122" s="42" t="str">
        <f t="shared" si="11"/>
        <v>-</v>
      </c>
      <c r="K122" s="42" t="str">
        <f t="shared" si="8"/>
        <v>DNF</v>
      </c>
      <c r="L122" s="42">
        <f t="shared" si="9"/>
        <v>0</v>
      </c>
      <c r="M122" s="42" t="str">
        <f t="shared" si="12"/>
        <v>-</v>
      </c>
      <c r="N122" s="42" t="str">
        <f t="shared" si="12"/>
        <v>-</v>
      </c>
      <c r="O122" s="42">
        <f t="shared" si="14"/>
        <v>0</v>
      </c>
      <c r="P122" s="42">
        <f t="shared" si="14"/>
        <v>0</v>
      </c>
    </row>
    <row r="123" spans="1:16" ht="12.75" customHeight="1" x14ac:dyDescent="0.25">
      <c r="A123" s="64">
        <f t="shared" si="6"/>
        <v>1</v>
      </c>
      <c r="B123" s="41" t="str">
        <f t="shared" si="13"/>
        <v/>
      </c>
      <c r="C123" s="41" t="str">
        <f t="shared" si="13"/>
        <v/>
      </c>
      <c r="D123" s="41" t="str">
        <f t="shared" si="13"/>
        <v/>
      </c>
      <c r="E123" s="42" t="str">
        <f t="shared" si="11"/>
        <v>-</v>
      </c>
      <c r="F123" s="65" t="str">
        <f t="shared" si="11"/>
        <v>-</v>
      </c>
      <c r="G123" s="65" t="str">
        <f t="shared" si="11"/>
        <v>-</v>
      </c>
      <c r="H123" s="65" t="str">
        <f t="shared" si="11"/>
        <v>-</v>
      </c>
      <c r="I123" s="65" t="str">
        <f t="shared" si="11"/>
        <v>-</v>
      </c>
      <c r="J123" s="42" t="str">
        <f t="shared" si="11"/>
        <v>-</v>
      </c>
      <c r="K123" s="42" t="str">
        <f t="shared" si="8"/>
        <v>DNF</v>
      </c>
      <c r="L123" s="42">
        <f t="shared" si="9"/>
        <v>0</v>
      </c>
      <c r="M123" s="42" t="str">
        <f t="shared" si="12"/>
        <v>-</v>
      </c>
      <c r="N123" s="42" t="str">
        <f t="shared" si="12"/>
        <v>-</v>
      </c>
      <c r="O123" s="42">
        <f t="shared" si="14"/>
        <v>0</v>
      </c>
      <c r="P123" s="42">
        <f t="shared" si="14"/>
        <v>0</v>
      </c>
    </row>
    <row r="124" spans="1:16" ht="12.75" customHeight="1" x14ac:dyDescent="0.25">
      <c r="A124" s="64">
        <f t="shared" si="6"/>
        <v>1</v>
      </c>
      <c r="B124" s="41" t="str">
        <f t="shared" si="13"/>
        <v/>
      </c>
      <c r="C124" s="41" t="str">
        <f t="shared" si="13"/>
        <v/>
      </c>
      <c r="D124" s="41" t="str">
        <f t="shared" si="13"/>
        <v/>
      </c>
      <c r="E124" s="42" t="str">
        <f t="shared" si="11"/>
        <v>-</v>
      </c>
      <c r="F124" s="65" t="str">
        <f t="shared" si="11"/>
        <v>-</v>
      </c>
      <c r="G124" s="65" t="str">
        <f t="shared" si="11"/>
        <v>-</v>
      </c>
      <c r="H124" s="65" t="str">
        <f t="shared" si="11"/>
        <v>-</v>
      </c>
      <c r="I124" s="65" t="str">
        <f t="shared" si="11"/>
        <v>-</v>
      </c>
      <c r="J124" s="42" t="str">
        <f t="shared" si="11"/>
        <v>-</v>
      </c>
      <c r="K124" s="42" t="str">
        <f t="shared" si="8"/>
        <v>DNF</v>
      </c>
      <c r="L124" s="42">
        <f t="shared" si="9"/>
        <v>0</v>
      </c>
      <c r="M124" s="42" t="str">
        <f t="shared" si="12"/>
        <v>-</v>
      </c>
      <c r="N124" s="42" t="str">
        <f t="shared" si="12"/>
        <v>-</v>
      </c>
      <c r="O124" s="42">
        <f t="shared" si="14"/>
        <v>0</v>
      </c>
      <c r="P124" s="42">
        <f t="shared" si="14"/>
        <v>0</v>
      </c>
    </row>
    <row r="125" spans="1:16" ht="12.75" customHeight="1" x14ac:dyDescent="0.25">
      <c r="A125" s="64">
        <f t="shared" si="6"/>
        <v>1</v>
      </c>
      <c r="B125" s="41" t="str">
        <f t="shared" si="13"/>
        <v/>
      </c>
      <c r="C125" s="41" t="str">
        <f t="shared" si="13"/>
        <v/>
      </c>
      <c r="D125" s="41" t="str">
        <f t="shared" si="13"/>
        <v/>
      </c>
      <c r="E125" s="42" t="str">
        <f t="shared" si="11"/>
        <v>-</v>
      </c>
      <c r="F125" s="65" t="str">
        <f t="shared" si="11"/>
        <v>-</v>
      </c>
      <c r="G125" s="65" t="str">
        <f t="shared" si="11"/>
        <v>-</v>
      </c>
      <c r="H125" s="65" t="str">
        <f t="shared" si="11"/>
        <v>-</v>
      </c>
      <c r="I125" s="65" t="str">
        <f t="shared" si="11"/>
        <v>-</v>
      </c>
      <c r="J125" s="42" t="str">
        <f t="shared" si="11"/>
        <v>-</v>
      </c>
      <c r="K125" s="42" t="str">
        <f t="shared" si="8"/>
        <v>DNF</v>
      </c>
      <c r="L125" s="42">
        <f t="shared" si="9"/>
        <v>0</v>
      </c>
      <c r="M125" s="42" t="str">
        <f t="shared" si="12"/>
        <v>-</v>
      </c>
      <c r="N125" s="42" t="str">
        <f t="shared" si="12"/>
        <v>-</v>
      </c>
      <c r="O125" s="42">
        <f t="shared" si="14"/>
        <v>0</v>
      </c>
      <c r="P125" s="42">
        <f t="shared" si="14"/>
        <v>0</v>
      </c>
    </row>
    <row r="126" spans="1:16" ht="12.75" customHeight="1" x14ac:dyDescent="0.25">
      <c r="A126" s="64">
        <f t="shared" si="6"/>
        <v>1</v>
      </c>
      <c r="B126" s="41" t="str">
        <f t="shared" si="13"/>
        <v/>
      </c>
      <c r="C126" s="41" t="str">
        <f t="shared" si="13"/>
        <v/>
      </c>
      <c r="D126" s="41" t="str">
        <f t="shared" si="13"/>
        <v/>
      </c>
      <c r="E126" s="42" t="str">
        <f t="shared" si="11"/>
        <v>-</v>
      </c>
      <c r="F126" s="65" t="str">
        <f t="shared" si="11"/>
        <v>-</v>
      </c>
      <c r="G126" s="65" t="str">
        <f t="shared" si="11"/>
        <v>-</v>
      </c>
      <c r="H126" s="65" t="str">
        <f t="shared" si="11"/>
        <v>-</v>
      </c>
      <c r="I126" s="65" t="str">
        <f t="shared" si="11"/>
        <v>-</v>
      </c>
      <c r="J126" s="42" t="str">
        <f t="shared" si="11"/>
        <v>-</v>
      </c>
      <c r="K126" s="42" t="str">
        <f t="shared" si="8"/>
        <v>DNF</v>
      </c>
      <c r="L126" s="42">
        <f t="shared" si="9"/>
        <v>0</v>
      </c>
      <c r="M126" s="42" t="str">
        <f t="shared" si="12"/>
        <v>-</v>
      </c>
      <c r="N126" s="42" t="str">
        <f t="shared" si="12"/>
        <v>-</v>
      </c>
      <c r="O126" s="42">
        <f t="shared" si="14"/>
        <v>0</v>
      </c>
      <c r="P126" s="42">
        <f t="shared" si="14"/>
        <v>0</v>
      </c>
    </row>
    <row r="127" spans="1:16" ht="12.75" customHeight="1" x14ac:dyDescent="0.25">
      <c r="A127" s="64">
        <f t="shared" si="6"/>
        <v>1</v>
      </c>
      <c r="B127" s="41" t="str">
        <f t="shared" si="13"/>
        <v/>
      </c>
      <c r="C127" s="41" t="str">
        <f t="shared" si="13"/>
        <v/>
      </c>
      <c r="D127" s="41" t="str">
        <f t="shared" si="13"/>
        <v/>
      </c>
      <c r="E127" s="42" t="str">
        <f t="shared" si="11"/>
        <v>-</v>
      </c>
      <c r="F127" s="65" t="str">
        <f t="shared" si="11"/>
        <v>-</v>
      </c>
      <c r="G127" s="65" t="str">
        <f t="shared" si="11"/>
        <v>-</v>
      </c>
      <c r="H127" s="65" t="str">
        <f t="shared" si="11"/>
        <v>-</v>
      </c>
      <c r="I127" s="65" t="str">
        <f t="shared" si="11"/>
        <v>-</v>
      </c>
      <c r="J127" s="42" t="str">
        <f t="shared" si="11"/>
        <v>-</v>
      </c>
      <c r="K127" s="42" t="str">
        <f t="shared" si="8"/>
        <v>DNF</v>
      </c>
      <c r="L127" s="42">
        <f t="shared" si="9"/>
        <v>0</v>
      </c>
      <c r="M127" s="42" t="str">
        <f t="shared" si="12"/>
        <v>-</v>
      </c>
      <c r="N127" s="42" t="str">
        <f t="shared" si="12"/>
        <v>-</v>
      </c>
      <c r="O127" s="42">
        <f t="shared" si="14"/>
        <v>0</v>
      </c>
      <c r="P127" s="42">
        <f t="shared" si="14"/>
        <v>0</v>
      </c>
    </row>
    <row r="128" spans="1:16" ht="12.75" customHeight="1" x14ac:dyDescent="0.25">
      <c r="A128" s="64">
        <f t="shared" si="6"/>
        <v>1</v>
      </c>
      <c r="B128" s="41" t="str">
        <f t="shared" si="13"/>
        <v/>
      </c>
      <c r="C128" s="41" t="str">
        <f t="shared" si="13"/>
        <v/>
      </c>
      <c r="D128" s="41" t="str">
        <f t="shared" si="13"/>
        <v/>
      </c>
      <c r="E128" s="42" t="str">
        <f t="shared" si="11"/>
        <v>-</v>
      </c>
      <c r="F128" s="65" t="str">
        <f t="shared" si="11"/>
        <v>-</v>
      </c>
      <c r="G128" s="65" t="str">
        <f t="shared" si="11"/>
        <v>-</v>
      </c>
      <c r="H128" s="65" t="str">
        <f t="shared" si="11"/>
        <v>-</v>
      </c>
      <c r="I128" s="65" t="str">
        <f t="shared" si="11"/>
        <v>-</v>
      </c>
      <c r="J128" s="42" t="str">
        <f t="shared" si="11"/>
        <v>-</v>
      </c>
      <c r="K128" s="42" t="str">
        <f t="shared" si="8"/>
        <v>DNF</v>
      </c>
      <c r="L128" s="42">
        <f t="shared" si="9"/>
        <v>0</v>
      </c>
      <c r="M128" s="42" t="str">
        <f t="shared" si="12"/>
        <v>-</v>
      </c>
      <c r="N128" s="42" t="str">
        <f t="shared" si="12"/>
        <v>-</v>
      </c>
      <c r="O128" s="42">
        <f t="shared" si="14"/>
        <v>0</v>
      </c>
      <c r="P128" s="42">
        <f t="shared" si="14"/>
        <v>0</v>
      </c>
    </row>
    <row r="129" spans="1:16" ht="12.75" customHeight="1" x14ac:dyDescent="0.25">
      <c r="A129" s="64">
        <f t="shared" si="6"/>
        <v>1</v>
      </c>
      <c r="B129" s="41" t="str">
        <f t="shared" si="13"/>
        <v/>
      </c>
      <c r="C129" s="41" t="str">
        <f t="shared" si="13"/>
        <v/>
      </c>
      <c r="D129" s="41" t="str">
        <f t="shared" si="13"/>
        <v/>
      </c>
      <c r="E129" s="42" t="str">
        <f t="shared" si="11"/>
        <v>-</v>
      </c>
      <c r="F129" s="65" t="str">
        <f t="shared" si="11"/>
        <v>-</v>
      </c>
      <c r="G129" s="65" t="str">
        <f t="shared" si="11"/>
        <v>-</v>
      </c>
      <c r="H129" s="65" t="str">
        <f t="shared" si="11"/>
        <v>-</v>
      </c>
      <c r="I129" s="65" t="str">
        <f t="shared" si="11"/>
        <v>-</v>
      </c>
      <c r="J129" s="42" t="str">
        <f t="shared" si="11"/>
        <v>-</v>
      </c>
      <c r="K129" s="42" t="str">
        <f t="shared" si="8"/>
        <v>DNF</v>
      </c>
      <c r="L129" s="42">
        <f t="shared" si="9"/>
        <v>0</v>
      </c>
      <c r="M129" s="42" t="str">
        <f t="shared" si="12"/>
        <v>-</v>
      </c>
      <c r="N129" s="42" t="str">
        <f t="shared" si="12"/>
        <v>-</v>
      </c>
      <c r="O129" s="42">
        <f t="shared" si="14"/>
        <v>0</v>
      </c>
      <c r="P129" s="42">
        <f t="shared" si="14"/>
        <v>0</v>
      </c>
    </row>
    <row r="130" spans="1:16" ht="12.75" customHeight="1" x14ac:dyDescent="0.25">
      <c r="A130" s="41">
        <f t="shared" si="6"/>
        <v>1</v>
      </c>
      <c r="B130" s="41" t="str">
        <f t="shared" si="13"/>
        <v/>
      </c>
      <c r="C130" s="41" t="str">
        <f t="shared" si="13"/>
        <v/>
      </c>
      <c r="D130" s="41" t="str">
        <f t="shared" si="13"/>
        <v/>
      </c>
      <c r="E130" s="42" t="str">
        <f t="shared" si="11"/>
        <v>-</v>
      </c>
      <c r="F130" s="65" t="str">
        <f t="shared" si="11"/>
        <v>-</v>
      </c>
      <c r="G130" s="65" t="str">
        <f t="shared" si="11"/>
        <v>-</v>
      </c>
      <c r="H130" s="65" t="str">
        <f t="shared" si="11"/>
        <v>-</v>
      </c>
      <c r="I130" s="65" t="str">
        <f t="shared" si="11"/>
        <v>-</v>
      </c>
      <c r="J130" s="42" t="str">
        <f t="shared" si="11"/>
        <v>-</v>
      </c>
      <c r="K130" s="42" t="str">
        <f t="shared" si="8"/>
        <v>DNF</v>
      </c>
      <c r="L130" s="42">
        <f t="shared" si="9"/>
        <v>0</v>
      </c>
      <c r="M130" s="42" t="str">
        <f t="shared" si="12"/>
        <v>-</v>
      </c>
      <c r="N130" s="42" t="str">
        <f t="shared" si="12"/>
        <v>-</v>
      </c>
      <c r="O130" s="42">
        <f t="shared" si="14"/>
        <v>0</v>
      </c>
      <c r="P130" s="42">
        <f t="shared" si="14"/>
        <v>0</v>
      </c>
    </row>
    <row r="131" spans="1:16" ht="12.75" customHeight="1" x14ac:dyDescent="0.25">
      <c r="A131" s="64">
        <f t="shared" si="6"/>
        <v>1</v>
      </c>
      <c r="B131" s="41" t="str">
        <f t="shared" si="13"/>
        <v/>
      </c>
      <c r="C131" s="41" t="str">
        <f t="shared" si="13"/>
        <v/>
      </c>
      <c r="D131" s="41" t="str">
        <f t="shared" si="13"/>
        <v/>
      </c>
      <c r="E131" s="42" t="str">
        <f t="shared" si="11"/>
        <v>-</v>
      </c>
      <c r="F131" s="65" t="str">
        <f t="shared" si="11"/>
        <v>-</v>
      </c>
      <c r="G131" s="65" t="str">
        <f t="shared" si="11"/>
        <v>-</v>
      </c>
      <c r="H131" s="65" t="str">
        <f t="shared" si="11"/>
        <v>-</v>
      </c>
      <c r="I131" s="65" t="str">
        <f t="shared" si="11"/>
        <v>-</v>
      </c>
      <c r="J131" s="42" t="str">
        <f t="shared" si="11"/>
        <v>-</v>
      </c>
      <c r="K131" s="42" t="str">
        <f t="shared" si="8"/>
        <v>DNF</v>
      </c>
      <c r="L131" s="42">
        <f t="shared" si="9"/>
        <v>0</v>
      </c>
      <c r="M131" s="42" t="str">
        <f t="shared" si="12"/>
        <v>-</v>
      </c>
      <c r="N131" s="42" t="str">
        <f t="shared" si="12"/>
        <v>-</v>
      </c>
      <c r="O131" s="42">
        <f t="shared" si="14"/>
        <v>0</v>
      </c>
      <c r="P131" s="42">
        <f t="shared" si="14"/>
        <v>0</v>
      </c>
    </row>
    <row r="132" spans="1:16" ht="12.75" customHeight="1" x14ac:dyDescent="0.25">
      <c r="A132" s="64">
        <f t="shared" si="6"/>
        <v>1</v>
      </c>
      <c r="B132" s="41" t="str">
        <f t="shared" si="13"/>
        <v/>
      </c>
      <c r="C132" s="41" t="str">
        <f t="shared" si="13"/>
        <v/>
      </c>
      <c r="D132" s="41" t="str">
        <f t="shared" si="13"/>
        <v/>
      </c>
      <c r="E132" s="42" t="str">
        <f t="shared" ref="E132:J139" si="15">IF(E43&lt;&gt;0,E43,"-")</f>
        <v>-</v>
      </c>
      <c r="F132" s="65" t="str">
        <f t="shared" si="15"/>
        <v>-</v>
      </c>
      <c r="G132" s="65" t="str">
        <f t="shared" si="15"/>
        <v>-</v>
      </c>
      <c r="H132" s="65" t="str">
        <f t="shared" si="15"/>
        <v>-</v>
      </c>
      <c r="I132" s="65" t="str">
        <f t="shared" si="15"/>
        <v>-</v>
      </c>
      <c r="J132" s="42" t="str">
        <f t="shared" si="15"/>
        <v>-</v>
      </c>
      <c r="K132" s="42" t="str">
        <f t="shared" si="8"/>
        <v>DNF</v>
      </c>
      <c r="L132" s="42">
        <f t="shared" si="9"/>
        <v>0</v>
      </c>
      <c r="M132" s="42" t="str">
        <f t="shared" ref="M132:N139" si="16">IF(M43&lt;&gt;0,M43,"-")</f>
        <v>-</v>
      </c>
      <c r="N132" s="42" t="str">
        <f t="shared" si="16"/>
        <v>-</v>
      </c>
      <c r="O132" s="42">
        <f t="shared" si="14"/>
        <v>0</v>
      </c>
      <c r="P132" s="42">
        <f t="shared" si="14"/>
        <v>0</v>
      </c>
    </row>
    <row r="133" spans="1:16" ht="12.75" customHeight="1" x14ac:dyDescent="0.25">
      <c r="A133" s="41">
        <f t="shared" si="6"/>
        <v>1</v>
      </c>
      <c r="B133" s="41" t="str">
        <f t="shared" ref="B133:D139" si="17">IF(B44&lt;&gt;0,B44,"")</f>
        <v/>
      </c>
      <c r="C133" s="41" t="str">
        <f t="shared" si="17"/>
        <v/>
      </c>
      <c r="D133" s="41" t="str">
        <f t="shared" si="17"/>
        <v/>
      </c>
      <c r="E133" s="42" t="str">
        <f t="shared" si="15"/>
        <v>-</v>
      </c>
      <c r="F133" s="65" t="str">
        <f t="shared" si="15"/>
        <v>-</v>
      </c>
      <c r="G133" s="65" t="str">
        <f t="shared" si="15"/>
        <v>-</v>
      </c>
      <c r="H133" s="65" t="str">
        <f t="shared" si="15"/>
        <v>-</v>
      </c>
      <c r="I133" s="65" t="str">
        <f t="shared" si="15"/>
        <v>-</v>
      </c>
      <c r="J133" s="42" t="str">
        <f t="shared" si="15"/>
        <v>-</v>
      </c>
      <c r="K133" s="42" t="str">
        <f t="shared" si="8"/>
        <v>DNF</v>
      </c>
      <c r="L133" s="42">
        <f t="shared" si="9"/>
        <v>0</v>
      </c>
      <c r="M133" s="42" t="str">
        <f t="shared" si="16"/>
        <v>-</v>
      </c>
      <c r="N133" s="42" t="str">
        <f t="shared" si="16"/>
        <v>-</v>
      </c>
      <c r="O133" s="42">
        <f t="shared" ref="O133:P139" si="18">+O44</f>
        <v>0</v>
      </c>
      <c r="P133" s="42">
        <f t="shared" si="18"/>
        <v>0</v>
      </c>
    </row>
    <row r="134" spans="1:16" ht="12.75" customHeight="1" x14ac:dyDescent="0.25">
      <c r="A134" s="64">
        <f t="shared" si="6"/>
        <v>1</v>
      </c>
      <c r="B134" s="41" t="str">
        <f t="shared" si="17"/>
        <v/>
      </c>
      <c r="C134" s="41" t="str">
        <f t="shared" si="17"/>
        <v/>
      </c>
      <c r="D134" s="41" t="str">
        <f t="shared" si="17"/>
        <v/>
      </c>
      <c r="E134" s="42" t="str">
        <f t="shared" si="15"/>
        <v>-</v>
      </c>
      <c r="F134" s="65" t="str">
        <f t="shared" si="15"/>
        <v>-</v>
      </c>
      <c r="G134" s="65" t="str">
        <f t="shared" si="15"/>
        <v>-</v>
      </c>
      <c r="H134" s="65" t="str">
        <f t="shared" si="15"/>
        <v>-</v>
      </c>
      <c r="I134" s="65" t="str">
        <f t="shared" si="15"/>
        <v>-</v>
      </c>
      <c r="J134" s="42" t="str">
        <f t="shared" si="15"/>
        <v>-</v>
      </c>
      <c r="K134" s="42" t="str">
        <f t="shared" si="8"/>
        <v>DNF</v>
      </c>
      <c r="L134" s="42">
        <f t="shared" si="9"/>
        <v>0</v>
      </c>
      <c r="M134" s="42" t="str">
        <f t="shared" si="16"/>
        <v>-</v>
      </c>
      <c r="N134" s="42" t="str">
        <f t="shared" si="16"/>
        <v>-</v>
      </c>
      <c r="O134" s="42">
        <f t="shared" si="18"/>
        <v>0</v>
      </c>
      <c r="P134" s="42">
        <f t="shared" si="18"/>
        <v>0</v>
      </c>
    </row>
    <row r="135" spans="1:16" ht="12.75" customHeight="1" x14ac:dyDescent="0.25">
      <c r="A135" s="64">
        <f t="shared" si="6"/>
        <v>1</v>
      </c>
      <c r="B135" s="41" t="str">
        <f t="shared" si="17"/>
        <v/>
      </c>
      <c r="C135" s="41" t="str">
        <f t="shared" si="17"/>
        <v/>
      </c>
      <c r="D135" s="41" t="str">
        <f t="shared" si="17"/>
        <v/>
      </c>
      <c r="E135" s="42" t="str">
        <f t="shared" si="15"/>
        <v>-</v>
      </c>
      <c r="F135" s="65" t="str">
        <f t="shared" si="15"/>
        <v>-</v>
      </c>
      <c r="G135" s="65" t="str">
        <f t="shared" si="15"/>
        <v>-</v>
      </c>
      <c r="H135" s="65" t="str">
        <f t="shared" si="15"/>
        <v>-</v>
      </c>
      <c r="I135" s="65" t="str">
        <f t="shared" si="15"/>
        <v>-</v>
      </c>
      <c r="J135" s="42" t="str">
        <f t="shared" si="15"/>
        <v>-</v>
      </c>
      <c r="K135" s="42" t="str">
        <f t="shared" si="8"/>
        <v>DNF</v>
      </c>
      <c r="L135" s="42">
        <f t="shared" si="9"/>
        <v>0</v>
      </c>
      <c r="M135" s="42" t="str">
        <f t="shared" si="16"/>
        <v>-</v>
      </c>
      <c r="N135" s="42" t="str">
        <f t="shared" si="16"/>
        <v>-</v>
      </c>
      <c r="O135" s="42">
        <f t="shared" si="18"/>
        <v>0</v>
      </c>
      <c r="P135" s="42">
        <f t="shared" si="18"/>
        <v>0</v>
      </c>
    </row>
    <row r="136" spans="1:16" ht="12.75" customHeight="1" x14ac:dyDescent="0.25">
      <c r="A136" s="41">
        <f t="shared" si="6"/>
        <v>1</v>
      </c>
      <c r="B136" s="41" t="str">
        <f t="shared" si="17"/>
        <v/>
      </c>
      <c r="C136" s="41" t="str">
        <f t="shared" si="17"/>
        <v/>
      </c>
      <c r="D136" s="41" t="str">
        <f t="shared" si="17"/>
        <v/>
      </c>
      <c r="E136" s="42" t="str">
        <f t="shared" si="15"/>
        <v>-</v>
      </c>
      <c r="F136" s="65" t="str">
        <f t="shared" si="15"/>
        <v>-</v>
      </c>
      <c r="G136" s="65" t="str">
        <f t="shared" si="15"/>
        <v>-</v>
      </c>
      <c r="H136" s="65" t="str">
        <f t="shared" si="15"/>
        <v>-</v>
      </c>
      <c r="I136" s="65" t="str">
        <f t="shared" si="15"/>
        <v>-</v>
      </c>
      <c r="J136" s="42" t="str">
        <f t="shared" si="15"/>
        <v>-</v>
      </c>
      <c r="K136" s="42" t="str">
        <f t="shared" si="8"/>
        <v>DNF</v>
      </c>
      <c r="L136" s="42">
        <f t="shared" si="9"/>
        <v>0</v>
      </c>
      <c r="M136" s="42" t="str">
        <f t="shared" si="16"/>
        <v>-</v>
      </c>
      <c r="N136" s="42" t="str">
        <f t="shared" si="16"/>
        <v>-</v>
      </c>
      <c r="O136" s="42">
        <f t="shared" si="18"/>
        <v>0</v>
      </c>
      <c r="P136" s="42">
        <f t="shared" si="18"/>
        <v>0</v>
      </c>
    </row>
    <row r="137" spans="1:16" ht="12.75" customHeight="1" x14ac:dyDescent="0.25">
      <c r="A137" s="41">
        <f t="shared" si="6"/>
        <v>1</v>
      </c>
      <c r="B137" s="41" t="str">
        <f t="shared" si="17"/>
        <v/>
      </c>
      <c r="C137" s="41" t="str">
        <f t="shared" si="17"/>
        <v/>
      </c>
      <c r="D137" s="41" t="str">
        <f t="shared" si="17"/>
        <v/>
      </c>
      <c r="E137" s="42" t="str">
        <f t="shared" si="15"/>
        <v>-</v>
      </c>
      <c r="F137" s="65" t="str">
        <f t="shared" si="15"/>
        <v>-</v>
      </c>
      <c r="G137" s="65" t="str">
        <f t="shared" si="15"/>
        <v>-</v>
      </c>
      <c r="H137" s="65" t="str">
        <f t="shared" si="15"/>
        <v>-</v>
      </c>
      <c r="I137" s="65" t="str">
        <f t="shared" si="15"/>
        <v>-</v>
      </c>
      <c r="J137" s="42" t="str">
        <f t="shared" si="15"/>
        <v>-</v>
      </c>
      <c r="K137" s="42" t="str">
        <f t="shared" si="8"/>
        <v>DNF</v>
      </c>
      <c r="L137" s="42">
        <f t="shared" si="9"/>
        <v>0</v>
      </c>
      <c r="M137" s="42" t="str">
        <f t="shared" si="16"/>
        <v>-</v>
      </c>
      <c r="N137" s="42" t="str">
        <f t="shared" si="16"/>
        <v>-</v>
      </c>
      <c r="O137" s="42">
        <f t="shared" si="18"/>
        <v>0</v>
      </c>
      <c r="P137" s="42">
        <f t="shared" si="18"/>
        <v>0</v>
      </c>
    </row>
    <row r="138" spans="1:16" ht="12.75" customHeight="1" x14ac:dyDescent="0.25">
      <c r="A138" s="41">
        <f t="shared" si="6"/>
        <v>1</v>
      </c>
      <c r="B138" s="41" t="str">
        <f t="shared" si="17"/>
        <v/>
      </c>
      <c r="C138" s="41" t="str">
        <f t="shared" si="17"/>
        <v/>
      </c>
      <c r="D138" s="41" t="str">
        <f t="shared" si="17"/>
        <v/>
      </c>
      <c r="E138" s="42" t="str">
        <f t="shared" si="15"/>
        <v>-</v>
      </c>
      <c r="F138" s="65" t="str">
        <f t="shared" si="15"/>
        <v>-</v>
      </c>
      <c r="G138" s="65" t="str">
        <f t="shared" si="15"/>
        <v>-</v>
      </c>
      <c r="H138" s="65" t="str">
        <f t="shared" si="15"/>
        <v>-</v>
      </c>
      <c r="I138" s="65" t="str">
        <f t="shared" si="15"/>
        <v>-</v>
      </c>
      <c r="J138" s="42" t="str">
        <f t="shared" si="15"/>
        <v>-</v>
      </c>
      <c r="K138" s="42" t="str">
        <f t="shared" si="8"/>
        <v>DNF</v>
      </c>
      <c r="L138" s="42">
        <f t="shared" si="9"/>
        <v>0</v>
      </c>
      <c r="M138" s="42" t="str">
        <f t="shared" si="16"/>
        <v>-</v>
      </c>
      <c r="N138" s="42" t="str">
        <f t="shared" si="16"/>
        <v>-</v>
      </c>
      <c r="O138" s="42">
        <f t="shared" si="18"/>
        <v>0</v>
      </c>
      <c r="P138" s="42">
        <f t="shared" si="18"/>
        <v>0</v>
      </c>
    </row>
    <row r="139" spans="1:16" ht="12.75" customHeight="1" x14ac:dyDescent="0.25">
      <c r="A139" s="41">
        <f t="shared" si="6"/>
        <v>1</v>
      </c>
      <c r="B139" s="41" t="str">
        <f t="shared" si="17"/>
        <v/>
      </c>
      <c r="C139" s="41" t="str">
        <f t="shared" si="17"/>
        <v/>
      </c>
      <c r="D139" s="41" t="str">
        <f t="shared" si="17"/>
        <v/>
      </c>
      <c r="E139" s="42" t="str">
        <f t="shared" si="15"/>
        <v>-</v>
      </c>
      <c r="F139" s="65" t="str">
        <f t="shared" si="15"/>
        <v>-</v>
      </c>
      <c r="G139" s="65" t="str">
        <f t="shared" si="15"/>
        <v>-</v>
      </c>
      <c r="H139" s="65" t="str">
        <f t="shared" si="15"/>
        <v>-</v>
      </c>
      <c r="I139" s="65" t="str">
        <f t="shared" si="15"/>
        <v>-</v>
      </c>
      <c r="J139" s="42" t="str">
        <f t="shared" si="15"/>
        <v>-</v>
      </c>
      <c r="K139" s="42" t="str">
        <f t="shared" si="8"/>
        <v>DNF</v>
      </c>
      <c r="L139" s="42">
        <f t="shared" si="9"/>
        <v>0</v>
      </c>
      <c r="M139" s="42" t="str">
        <f t="shared" si="16"/>
        <v>-</v>
      </c>
      <c r="N139" s="42" t="str">
        <f t="shared" si="16"/>
        <v>-</v>
      </c>
      <c r="O139" s="42">
        <f t="shared" si="18"/>
        <v>0</v>
      </c>
      <c r="P139" s="42">
        <f t="shared" si="18"/>
        <v>0</v>
      </c>
    </row>
    <row r="140" spans="1:16" ht="12.75" customHeight="1" x14ac:dyDescent="0.25"/>
    <row r="141" spans="1:16" ht="12.75" customHeight="1" x14ac:dyDescent="0.25"/>
    <row r="142" spans="1:16" ht="12.75" customHeight="1" x14ac:dyDescent="0.25"/>
    <row r="143" spans="1:16" ht="12.75" customHeight="1" x14ac:dyDescent="0.25"/>
    <row r="144" spans="1:16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</sheetData>
  <conditionalFormatting sqref="A45:P50">
    <cfRule type="expression" dxfId="1" priority="2" stopIfTrue="1">
      <formula>#REF!="E85"</formula>
    </cfRule>
  </conditionalFormatting>
  <conditionalFormatting sqref="A134:P139">
    <cfRule type="expression" dxfId="0" priority="1" stopIfTrue="1">
      <formula>#REF!="E85"</formula>
    </cfRule>
  </conditionalFormatting>
  <pageMargins left="0.55118110236220474" right="0.55118110236220474" top="1.2204724409448819" bottom="1.2204724409448819" header="0.51181102362204722" footer="0.31496062992125984"/>
  <pageSetup paperSize="9" scale="75" fitToHeight="0" orientation="landscape" r:id="rId1"/>
  <headerFooter>
    <oddHeader>&amp;L&amp;"Times New Roman,Grassetto"&amp;22Endurance &amp;&amp; Efficiency Event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opLeftCell="A11" workbookViewId="0">
      <selection activeCell="C41" sqref="C41:C5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46" t="s">
        <v>1</v>
      </c>
      <c r="C1" s="46" t="s">
        <v>2</v>
      </c>
      <c r="D1" s="46" t="s">
        <v>3</v>
      </c>
      <c r="E1" s="47" t="s">
        <v>44</v>
      </c>
      <c r="F1" s="6" t="s">
        <v>45</v>
      </c>
      <c r="G1" s="6" t="s">
        <v>46</v>
      </c>
      <c r="H1" s="6" t="s">
        <v>47</v>
      </c>
      <c r="I1" s="6" t="s">
        <v>48</v>
      </c>
      <c r="J1" s="6" t="s">
        <v>49</v>
      </c>
      <c r="K1" s="6" t="s">
        <v>39</v>
      </c>
      <c r="L1" s="6" t="s">
        <v>42</v>
      </c>
      <c r="M1" s="6" t="s">
        <v>35</v>
      </c>
      <c r="N1" s="6" t="s">
        <v>43</v>
      </c>
      <c r="P1" s="49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48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48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48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48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48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48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48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48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48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48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48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48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48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48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48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48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48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48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48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48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48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48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48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48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48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48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48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48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48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48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48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48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48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48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48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48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48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48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48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48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48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48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48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48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48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48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48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48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48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48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48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46" t="s">
        <v>1</v>
      </c>
      <c r="C89" s="46" t="s">
        <v>2</v>
      </c>
      <c r="D89" s="46" t="s">
        <v>3</v>
      </c>
      <c r="E89" s="47" t="s">
        <v>44</v>
      </c>
      <c r="F89" s="6" t="s">
        <v>45</v>
      </c>
      <c r="G89" s="6" t="s">
        <v>46</v>
      </c>
      <c r="H89" s="6" t="s">
        <v>47</v>
      </c>
      <c r="I89" s="6" t="s">
        <v>48</v>
      </c>
      <c r="J89" s="6" t="s">
        <v>49</v>
      </c>
      <c r="K89" s="6" t="s">
        <v>39</v>
      </c>
      <c r="L89" s="6" t="s">
        <v>42</v>
      </c>
      <c r="M89" s="6" t="s">
        <v>35</v>
      </c>
      <c r="N89" s="6" t="s">
        <v>43</v>
      </c>
      <c r="P89" s="49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48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48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48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48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48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48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48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48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48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48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48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48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48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48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48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48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48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48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48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48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48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48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48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48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48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48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48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48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48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48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48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48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48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48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48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48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48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48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48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48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48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48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48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48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48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48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48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48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48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48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48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1E - Official Results&amp;R&amp;G</oddHeader>
    <oddFooter>&amp;L&amp;"Times New Roman,Normale"The Event Director
____________________________________________
Formula SAE Italy 2022&amp;RVarano de' Melegari - maggio 20, 2022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2022-05-20T07:31:46Z</cp:lastPrinted>
  <dcterms:created xsi:type="dcterms:W3CDTF">2017-05-29T06:34:26Z</dcterms:created>
  <dcterms:modified xsi:type="dcterms:W3CDTF">2022-05-20T07:32:02Z</dcterms:modified>
</cp:coreProperties>
</file>